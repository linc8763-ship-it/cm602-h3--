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6"/>
  <workbookPr/>
  <xr:revisionPtr revIDLastSave="0" documentId="8_{A69C8321-C8CF-9F47-B86A-B0B0DDE9BD0D}" xr6:coauthVersionLast="47" xr6:coauthVersionMax="47" xr10:uidLastSave="{00000000-0000-0000-0000-000000000000}"/>
  <bookViews>
    <workbookView xWindow="-108" yWindow="-108" windowWidth="23256" windowHeight="12456" tabRatio="712" activeTab="1" xr2:uid="{00000000-000D-0000-FFFF-FFFF00000000}"/>
  </bookViews>
  <sheets>
    <sheet name="H3前側頭計算 " sheetId="1" r:id="rId1"/>
    <sheet name="H3後側頭計算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2" l="1"/>
  <c r="R24" i="2"/>
  <c r="P24" i="2"/>
  <c r="O24" i="2"/>
  <c r="M24" i="2"/>
  <c r="L24" i="2"/>
  <c r="I24" i="2"/>
  <c r="H24" i="2"/>
  <c r="F24" i="2"/>
  <c r="E24" i="2"/>
  <c r="C24" i="2"/>
  <c r="B24" i="2"/>
  <c r="S23" i="2"/>
  <c r="R23" i="2"/>
  <c r="P23" i="2"/>
  <c r="O23" i="2"/>
  <c r="M23" i="2"/>
  <c r="L23" i="2"/>
  <c r="I23" i="2"/>
  <c r="H23" i="2"/>
  <c r="F23" i="2"/>
  <c r="E23" i="2"/>
  <c r="C23" i="2"/>
  <c r="B23" i="2"/>
  <c r="S22" i="2"/>
  <c r="R22" i="2"/>
  <c r="P22" i="2"/>
  <c r="O22" i="2"/>
  <c r="M22" i="2"/>
  <c r="L22" i="2"/>
  <c r="I22" i="2"/>
  <c r="H22" i="2"/>
  <c r="F22" i="2"/>
  <c r="E22" i="2"/>
  <c r="C22" i="2"/>
  <c r="B22" i="2"/>
  <c r="S21" i="2"/>
  <c r="R21" i="2"/>
  <c r="P21" i="2"/>
  <c r="O21" i="2"/>
  <c r="M21" i="2"/>
  <c r="L21" i="2"/>
  <c r="I21" i="2"/>
  <c r="H21" i="2"/>
  <c r="F21" i="2"/>
  <c r="E21" i="2"/>
  <c r="C21" i="2"/>
  <c r="B21" i="2"/>
  <c r="S20" i="2"/>
  <c r="R20" i="2"/>
  <c r="P20" i="2"/>
  <c r="O20" i="2"/>
  <c r="M20" i="2"/>
  <c r="L20" i="2"/>
  <c r="I20" i="2"/>
  <c r="H20" i="2"/>
  <c r="F20" i="2"/>
  <c r="E20" i="2"/>
  <c r="C20" i="2"/>
  <c r="B20" i="2"/>
  <c r="S19" i="2"/>
  <c r="R19" i="2"/>
  <c r="P19" i="2"/>
  <c r="O19" i="2"/>
  <c r="M19" i="2"/>
  <c r="L19" i="2"/>
  <c r="I19" i="2"/>
  <c r="H19" i="2"/>
  <c r="F19" i="2"/>
  <c r="E19" i="2"/>
  <c r="C19" i="2"/>
  <c r="B19" i="2"/>
  <c r="S18" i="2"/>
  <c r="R18" i="2"/>
  <c r="P18" i="2"/>
  <c r="O18" i="2"/>
  <c r="M18" i="2"/>
  <c r="L18" i="2"/>
  <c r="I18" i="2"/>
  <c r="H18" i="2"/>
  <c r="F18" i="2"/>
  <c r="E18" i="2"/>
  <c r="C18" i="2"/>
  <c r="B18" i="2"/>
  <c r="S17" i="2"/>
  <c r="R17" i="2"/>
  <c r="P17" i="2"/>
  <c r="O17" i="2"/>
  <c r="M17" i="2"/>
  <c r="L17" i="2"/>
  <c r="I17" i="2"/>
  <c r="H17" i="2"/>
  <c r="F17" i="2"/>
  <c r="E17" i="2"/>
  <c r="C17" i="2"/>
  <c r="B17" i="2"/>
  <c r="S24" i="1"/>
  <c r="R24" i="1"/>
  <c r="P24" i="1"/>
  <c r="O24" i="1"/>
  <c r="M24" i="1"/>
  <c r="L24" i="1"/>
  <c r="I24" i="1"/>
  <c r="H24" i="1"/>
  <c r="F24" i="1"/>
  <c r="E24" i="1"/>
  <c r="C24" i="1"/>
  <c r="B24" i="1"/>
  <c r="S23" i="1"/>
  <c r="R23" i="1"/>
  <c r="P23" i="1"/>
  <c r="O23" i="1"/>
  <c r="M23" i="1"/>
  <c r="L23" i="1"/>
  <c r="I23" i="1"/>
  <c r="H23" i="1"/>
  <c r="F23" i="1"/>
  <c r="E23" i="1"/>
  <c r="C23" i="1"/>
  <c r="B23" i="1"/>
  <c r="S22" i="1"/>
  <c r="R22" i="1"/>
  <c r="P22" i="1"/>
  <c r="O22" i="1"/>
  <c r="M22" i="1"/>
  <c r="L22" i="1"/>
  <c r="I22" i="1"/>
  <c r="H22" i="1"/>
  <c r="F22" i="1"/>
  <c r="E22" i="1"/>
  <c r="C22" i="1"/>
  <c r="B22" i="1"/>
  <c r="S21" i="1"/>
  <c r="R21" i="1"/>
  <c r="P21" i="1"/>
  <c r="O21" i="1"/>
  <c r="M21" i="1"/>
  <c r="L21" i="1"/>
  <c r="I21" i="1"/>
  <c r="H21" i="1"/>
  <c r="F21" i="1"/>
  <c r="E21" i="1"/>
  <c r="C21" i="1"/>
  <c r="B21" i="1"/>
  <c r="S20" i="1"/>
  <c r="R20" i="1"/>
  <c r="P20" i="1"/>
  <c r="O20" i="1"/>
  <c r="M20" i="1"/>
  <c r="L20" i="1"/>
  <c r="I20" i="1"/>
  <c r="H20" i="1"/>
  <c r="F20" i="1"/>
  <c r="E20" i="1"/>
  <c r="C20" i="1"/>
  <c r="B20" i="1"/>
  <c r="S19" i="1"/>
  <c r="R19" i="1"/>
  <c r="P19" i="1"/>
  <c r="O19" i="1"/>
  <c r="M19" i="1"/>
  <c r="L19" i="1"/>
  <c r="I19" i="1"/>
  <c r="H19" i="1"/>
  <c r="F19" i="1"/>
  <c r="E19" i="1"/>
  <c r="C19" i="1"/>
  <c r="B19" i="1"/>
  <c r="S18" i="1"/>
  <c r="R18" i="1"/>
  <c r="P18" i="1"/>
  <c r="O18" i="1"/>
  <c r="M18" i="1"/>
  <c r="L18" i="1"/>
  <c r="I18" i="1"/>
  <c r="H18" i="1"/>
  <c r="F18" i="1"/>
  <c r="E18" i="1"/>
  <c r="C18" i="1"/>
  <c r="B18" i="1"/>
  <c r="S17" i="1"/>
  <c r="R17" i="1"/>
  <c r="P17" i="1"/>
  <c r="O17" i="1"/>
  <c r="M17" i="1"/>
  <c r="L17" i="1"/>
  <c r="I17" i="1"/>
  <c r="H17" i="1"/>
  <c r="F17" i="1"/>
  <c r="E17" i="1"/>
  <c r="C17" i="1"/>
  <c r="B17" i="1"/>
</calcChain>
</file>

<file path=xl/sharedStrings.xml><?xml version="1.0" encoding="utf-8"?>
<sst xmlns="http://schemas.openxmlformats.org/spreadsheetml/2006/main" count="387" uniqueCount="31">
  <si>
    <t>吸頭位置偏移量</t>
  </si>
  <si>
    <r>
      <t>0</t>
    </r>
    <r>
      <rPr>
        <sz val="11"/>
        <color rgb="FF000000"/>
        <rFont val="仿宋"/>
        <charset val="134"/>
      </rPr>
      <t>°</t>
    </r>
  </si>
  <si>
    <t>45°</t>
  </si>
  <si>
    <t>90°</t>
  </si>
  <si>
    <t>135°</t>
  </si>
  <si>
    <t>180°</t>
  </si>
  <si>
    <t>-135°</t>
  </si>
  <si>
    <t>-90°</t>
  </si>
  <si>
    <t>-45°</t>
  </si>
  <si>
    <t>X[mm]</t>
  </si>
  <si>
    <t>Y[mm]</t>
  </si>
  <si>
    <t>H1</t>
  </si>
  <si>
    <t>H3</t>
  </si>
  <si>
    <t>H2</t>
  </si>
  <si>
    <t>SEQ.</t>
  </si>
  <si>
    <t>吸嘴
編號</t>
  </si>
  <si>
    <r>
      <t>A[</t>
    </r>
    <r>
      <rPr>
        <sz val="11"/>
        <color rgb="FF000000"/>
        <rFont val="仿宋"/>
        <charset val="134"/>
      </rPr>
      <t>°</t>
    </r>
    <r>
      <rPr>
        <sz val="11"/>
        <color rgb="FF000000"/>
        <rFont val="宋体"/>
        <charset val="134"/>
      </rPr>
      <t>]</t>
    </r>
  </si>
  <si>
    <t>實裝座標</t>
  </si>
  <si>
    <t>偏移量</t>
  </si>
  <si>
    <t>0°</t>
  </si>
  <si>
    <t>90度--H3/前側Head補正前</t>
  </si>
  <si>
    <t>90度--H3/前側Head補正後</t>
  </si>
  <si>
    <t>45度--H3/前側Head補正前</t>
  </si>
  <si>
    <t>45度--H3/前側Head補正後</t>
  </si>
  <si>
    <t>90度--H3/後側Head補正前</t>
  </si>
  <si>
    <t>45度--H3/後側Head補正前</t>
  </si>
  <si>
    <t>90度--H3/後側Head補正後</t>
  </si>
  <si>
    <t>45度--H3/後側Head補正後</t>
  </si>
  <si>
    <t>ar</t>
  </si>
  <si>
    <t>af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</si>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</sst>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9" x14ac:knownFonts="1">
    <font>
      <sz val="11"/>
      <name val="宋体"/>
    </font>
    <font>
      <sz val="11"/>
      <color rgb="FF000000"/>
      <name val="宋体"/>
      <charset val="134"/>
    </font>
    <font>
      <sz val="22"/>
      <color rgb="FF000000"/>
      <name val="宋体"/>
      <charset val="134"/>
    </font>
    <font>
      <b/>
      <sz val="22"/>
      <color rgb="FF002060"/>
      <name val="宋体"/>
      <charset val="134"/>
    </font>
    <font>
      <sz val="22"/>
      <color rgb="FFFF0000"/>
      <name val="宋体"/>
      <charset val="134"/>
    </font>
    <font>
      <sz val="11"/>
      <color rgb="FF000000"/>
      <name val="SimSun"/>
      <charset val="136"/>
    </font>
    <font>
      <sz val="11"/>
      <color indexed="64"/>
      <name val="宋体"/>
    </font>
    <font>
      <sz val="11"/>
      <color rgb="FF000000"/>
      <name val="宋体"/>
    </font>
    <font>
      <sz val="11"/>
      <color rgb="FF000000"/>
      <name val="仿宋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right" vertical="center"/>
    </xf>
    <xf numFmtId="176" fontId="1" fillId="0" borderId="4" xfId="0" applyNumberFormat="1" applyFont="1" applyBorder="1">
      <alignment vertical="center"/>
    </xf>
    <xf numFmtId="176" fontId="1" fillId="0" borderId="4" xfId="0" applyNumberFormat="1" applyFont="1" applyBorder="1">
      <alignment vertical="center"/>
    </xf>
    <xf numFmtId="176" fontId="5" fillId="0" borderId="4" xfId="0" applyNumberFormat="1" applyFont="1" applyBorder="1">
      <alignment vertical="center"/>
    </xf>
    <xf numFmtId="49" fontId="1" fillId="3" borderId="4" xfId="0" applyNumberFormat="1" applyFont="1" applyFill="1" applyBorder="1" applyAlignment="1">
      <alignment horizontal="right" vertical="center"/>
    </xf>
    <xf numFmtId="176" fontId="1" fillId="4" borderId="4" xfId="0" applyNumberFormat="1" applyFont="1" applyFill="1" applyBorder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4" xfId="0" applyFont="1" applyBorder="1" applyAlignment="1">
      <alignment horizontal="center" vertical="center"/>
    </xf>
    <xf numFmtId="176" fontId="5" fillId="0" borderId="0" xfId="0" applyNumberFormat="1" applyFont="1">
      <alignment vertical="center"/>
    </xf>
    <xf numFmtId="0" fontId="6" fillId="0" borderId="0" xfId="0" applyNumberFormat="1" applyFont="1" applyFill="1" applyBorder="1">
      <alignment vertical="center"/>
    </xf>
    <xf numFmtId="176" fontId="7" fillId="0" borderId="4" xfId="0" applyNumberFormat="1" applyFont="1" applyFill="1" applyBorder="1">
      <alignment vertical="center"/>
    </xf>
    <xf numFmtId="49" fontId="7" fillId="5" borderId="4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opLeftCell="H1" zoomScale="89" workbookViewId="0">
      <selection activeCell="J39" sqref="J39"/>
    </sheetView>
  </sheetViews>
  <sheetFormatPr defaultColWidth="8.99609375" defaultRowHeight="13.5" x14ac:dyDescent="0.1"/>
  <cols>
    <col min="1" max="1" width="8.86328125" style="1" customWidth="1"/>
    <col min="2" max="5" width="9.953125"/>
    <col min="6" max="6" width="8.86328125" customWidth="1"/>
    <col min="7" max="7" width="8.86328125" style="1" customWidth="1"/>
    <col min="8" max="10" width="9.953125"/>
    <col min="11" max="11" width="8.86328125" style="1" customWidth="1"/>
    <col min="12" max="16" width="9.953125"/>
    <col min="17" max="17" width="8.86328125" style="1" customWidth="1"/>
    <col min="18" max="256" width="9.953125" customWidth="1"/>
  </cols>
  <sheetData>
    <row r="1" spans="1:19" s="2" customFormat="1" ht="25.15" customHeight="1" x14ac:dyDescent="0.1">
      <c r="A1" s="25" t="s">
        <v>20</v>
      </c>
      <c r="B1" s="26"/>
      <c r="C1" s="26"/>
      <c r="D1" s="26"/>
      <c r="E1" s="26"/>
      <c r="F1" s="26"/>
      <c r="G1" s="26"/>
      <c r="H1" s="26"/>
      <c r="I1" s="26"/>
      <c r="K1" s="25" t="s">
        <v>22</v>
      </c>
      <c r="L1" s="26"/>
      <c r="M1" s="26"/>
      <c r="N1" s="26"/>
      <c r="O1" s="26"/>
      <c r="P1" s="26"/>
      <c r="Q1" s="26"/>
      <c r="R1" s="26"/>
      <c r="S1" s="26"/>
    </row>
    <row r="2" spans="1:19" ht="19.899999999999999" customHeight="1" x14ac:dyDescent="0.1">
      <c r="A2" s="21" t="s">
        <v>11</v>
      </c>
      <c r="B2" s="22"/>
      <c r="C2" s="23"/>
      <c r="D2" s="21" t="s">
        <v>13</v>
      </c>
      <c r="E2" s="22"/>
      <c r="F2" s="23"/>
      <c r="G2" s="21" t="s">
        <v>12</v>
      </c>
      <c r="H2" s="22"/>
      <c r="I2" s="23"/>
      <c r="K2" s="21" t="s">
        <v>11</v>
      </c>
      <c r="L2" s="22"/>
      <c r="M2" s="23"/>
      <c r="N2" s="21" t="s">
        <v>13</v>
      </c>
      <c r="O2" s="22"/>
      <c r="P2" s="23"/>
      <c r="Q2" s="21" t="s">
        <v>12</v>
      </c>
      <c r="R2" s="22"/>
      <c r="S2" s="23"/>
    </row>
    <row r="3" spans="1:19" x14ac:dyDescent="0.1">
      <c r="A3" s="20" t="s">
        <v>0</v>
      </c>
      <c r="B3" s="20"/>
      <c r="C3" s="20"/>
      <c r="D3" s="20" t="s">
        <v>0</v>
      </c>
      <c r="E3" s="20"/>
      <c r="F3" s="20"/>
      <c r="G3" s="20" t="s">
        <v>0</v>
      </c>
      <c r="H3" s="20"/>
      <c r="I3" s="20"/>
      <c r="K3" s="20" t="s">
        <v>0</v>
      </c>
      <c r="L3" s="20"/>
      <c r="M3" s="20"/>
      <c r="N3" s="20" t="s">
        <v>0</v>
      </c>
      <c r="O3" s="20"/>
      <c r="P3" s="20"/>
      <c r="Q3" s="20" t="s">
        <v>0</v>
      </c>
      <c r="R3" s="20"/>
      <c r="S3" s="20"/>
    </row>
    <row r="4" spans="1:19" x14ac:dyDescent="0.1">
      <c r="A4" s="3"/>
      <c r="B4" s="4" t="s">
        <v>9</v>
      </c>
      <c r="C4" s="4" t="s">
        <v>10</v>
      </c>
      <c r="D4" s="3"/>
      <c r="E4" s="4" t="s">
        <v>9</v>
      </c>
      <c r="F4" s="4" t="s">
        <v>10</v>
      </c>
      <c r="G4" s="3"/>
      <c r="H4" s="4" t="s">
        <v>9</v>
      </c>
      <c r="I4" s="4" t="s">
        <v>10</v>
      </c>
      <c r="K4" s="5"/>
      <c r="L4" s="4" t="s">
        <v>9</v>
      </c>
      <c r="M4" s="4" t="s">
        <v>10</v>
      </c>
      <c r="N4" s="5"/>
      <c r="O4" s="4" t="s">
        <v>9</v>
      </c>
      <c r="P4" s="4" t="s">
        <v>10</v>
      </c>
      <c r="Q4" s="5"/>
      <c r="R4" s="4" t="s">
        <v>9</v>
      </c>
      <c r="S4" s="4" t="s">
        <v>10</v>
      </c>
    </row>
    <row r="5" spans="1:19" x14ac:dyDescent="0.1">
      <c r="A5" s="6" t="s">
        <v>19</v>
      </c>
      <c r="B5" s="7"/>
      <c r="C5" s="7"/>
      <c r="D5" s="6" t="s">
        <v>19</v>
      </c>
      <c r="E5" s="7"/>
      <c r="F5" s="7"/>
      <c r="G5" s="6" t="s">
        <v>19</v>
      </c>
      <c r="H5" s="7"/>
      <c r="I5" s="7"/>
      <c r="K5" s="6" t="s">
        <v>19</v>
      </c>
      <c r="L5" s="8"/>
      <c r="M5" s="8"/>
      <c r="N5" s="6" t="s">
        <v>19</v>
      </c>
      <c r="O5" s="8"/>
      <c r="P5" s="8"/>
      <c r="Q5" s="6" t="s">
        <v>19</v>
      </c>
      <c r="R5" s="8"/>
      <c r="S5" s="8"/>
    </row>
    <row r="6" spans="1:19" x14ac:dyDescent="0.1">
      <c r="A6" s="6" t="s">
        <v>2</v>
      </c>
      <c r="B6" s="7"/>
      <c r="C6" s="7"/>
      <c r="D6" s="6" t="s">
        <v>2</v>
      </c>
      <c r="E6" s="7"/>
      <c r="F6" s="7"/>
      <c r="G6" s="6" t="s">
        <v>2</v>
      </c>
      <c r="H6" s="7"/>
      <c r="I6" s="7"/>
      <c r="K6" s="6" t="s">
        <v>2</v>
      </c>
      <c r="L6" s="8"/>
      <c r="M6" s="8"/>
      <c r="N6" s="6" t="s">
        <v>2</v>
      </c>
      <c r="O6" s="8"/>
      <c r="P6" s="8"/>
      <c r="Q6" s="6" t="s">
        <v>2</v>
      </c>
      <c r="R6" s="8"/>
      <c r="S6" s="8"/>
    </row>
    <row r="7" spans="1:19" x14ac:dyDescent="0.1">
      <c r="A7" s="6" t="s">
        <v>3</v>
      </c>
      <c r="B7" s="7"/>
      <c r="C7" s="9"/>
      <c r="D7" s="6" t="s">
        <v>3</v>
      </c>
      <c r="E7" s="7"/>
      <c r="F7" s="7"/>
      <c r="G7" s="6" t="s">
        <v>3</v>
      </c>
      <c r="H7" s="7"/>
      <c r="I7" s="7"/>
      <c r="K7" s="6" t="s">
        <v>3</v>
      </c>
      <c r="L7" s="8"/>
      <c r="M7" s="8"/>
      <c r="N7" s="6" t="s">
        <v>3</v>
      </c>
      <c r="O7" s="8"/>
      <c r="P7" s="8"/>
      <c r="Q7" s="6" t="s">
        <v>3</v>
      </c>
      <c r="R7" s="8"/>
      <c r="S7" s="8"/>
    </row>
    <row r="8" spans="1:19" x14ac:dyDescent="0.1">
      <c r="A8" s="6" t="s">
        <v>4</v>
      </c>
      <c r="B8" s="7"/>
      <c r="C8" s="7"/>
      <c r="D8" s="6" t="s">
        <v>4</v>
      </c>
      <c r="E8" s="7"/>
      <c r="F8" s="7"/>
      <c r="G8" s="6" t="s">
        <v>4</v>
      </c>
      <c r="H8" s="7"/>
      <c r="I8" s="7"/>
      <c r="K8" s="6" t="s">
        <v>4</v>
      </c>
      <c r="L8" s="8"/>
      <c r="M8" s="8"/>
      <c r="N8" s="6" t="s">
        <v>4</v>
      </c>
      <c r="O8" s="8"/>
      <c r="P8" s="8"/>
      <c r="Q8" s="6" t="s">
        <v>4</v>
      </c>
      <c r="R8" s="8"/>
      <c r="S8" s="8"/>
    </row>
    <row r="9" spans="1:19" x14ac:dyDescent="0.1">
      <c r="A9" s="6" t="s">
        <v>5</v>
      </c>
      <c r="B9" s="7"/>
      <c r="C9" s="7"/>
      <c r="D9" s="6" t="s">
        <v>5</v>
      </c>
      <c r="E9" s="7"/>
      <c r="F9" s="7"/>
      <c r="G9" s="6" t="s">
        <v>5</v>
      </c>
      <c r="H9" s="7"/>
      <c r="I9" s="7"/>
      <c r="K9" s="6" t="s">
        <v>5</v>
      </c>
      <c r="L9" s="8"/>
      <c r="M9" s="8"/>
      <c r="N9" s="6" t="s">
        <v>5</v>
      </c>
      <c r="O9" s="8"/>
      <c r="P9" s="8"/>
      <c r="Q9" s="6" t="s">
        <v>5</v>
      </c>
      <c r="R9" s="8"/>
      <c r="S9" s="8"/>
    </row>
    <row r="10" spans="1:19" x14ac:dyDescent="0.1">
      <c r="A10" s="6" t="s">
        <v>6</v>
      </c>
      <c r="B10" s="7"/>
      <c r="C10" s="7"/>
      <c r="D10" s="6" t="s">
        <v>6</v>
      </c>
      <c r="E10" s="7"/>
      <c r="F10" s="7"/>
      <c r="G10" s="6" t="s">
        <v>6</v>
      </c>
      <c r="H10" s="7"/>
      <c r="I10" s="7"/>
      <c r="K10" s="6" t="s">
        <v>6</v>
      </c>
      <c r="L10" s="8"/>
      <c r="M10" s="8"/>
      <c r="N10" s="6" t="s">
        <v>6</v>
      </c>
      <c r="O10" s="8"/>
      <c r="P10" s="8"/>
      <c r="Q10" s="6" t="s">
        <v>6</v>
      </c>
      <c r="R10" s="8"/>
      <c r="S10" s="8"/>
    </row>
    <row r="11" spans="1:19" x14ac:dyDescent="0.1">
      <c r="A11" s="6" t="s">
        <v>7</v>
      </c>
      <c r="B11" s="7"/>
      <c r="C11" s="7"/>
      <c r="D11" s="6" t="s">
        <v>7</v>
      </c>
      <c r="E11" s="7"/>
      <c r="F11" s="7"/>
      <c r="G11" s="6" t="s">
        <v>7</v>
      </c>
      <c r="H11" s="7"/>
      <c r="I11" s="7"/>
      <c r="K11" s="6" t="s">
        <v>7</v>
      </c>
      <c r="L11" s="8"/>
      <c r="M11" s="8"/>
      <c r="N11" s="6" t="s">
        <v>7</v>
      </c>
      <c r="O11" s="8"/>
      <c r="P11" s="8"/>
      <c r="Q11" s="6" t="s">
        <v>7</v>
      </c>
      <c r="R11" s="8"/>
      <c r="S11" s="8"/>
    </row>
    <row r="12" spans="1:19" x14ac:dyDescent="0.1">
      <c r="A12" s="6" t="s">
        <v>8</v>
      </c>
      <c r="B12" s="7"/>
      <c r="C12" s="7"/>
      <c r="D12" s="6" t="s">
        <v>8</v>
      </c>
      <c r="E12" s="7"/>
      <c r="F12" s="7"/>
      <c r="G12" s="6" t="s">
        <v>8</v>
      </c>
      <c r="H12" s="7"/>
      <c r="I12" s="7"/>
      <c r="K12" s="6" t="s">
        <v>8</v>
      </c>
      <c r="L12" s="8"/>
      <c r="M12" s="8"/>
      <c r="N12" s="6" t="s">
        <v>8</v>
      </c>
      <c r="O12" s="8"/>
      <c r="P12" s="8"/>
      <c r="Q12" s="6" t="s">
        <v>8</v>
      </c>
      <c r="R12" s="8"/>
      <c r="S12" s="8"/>
    </row>
    <row r="13" spans="1:19" ht="25.15" customHeight="1" x14ac:dyDescent="0.1">
      <c r="A13" s="25" t="s">
        <v>21</v>
      </c>
      <c r="B13" s="26"/>
      <c r="C13" s="26"/>
      <c r="D13" s="26"/>
      <c r="E13" s="26"/>
      <c r="F13" s="26"/>
      <c r="G13" s="26"/>
      <c r="H13" s="26"/>
      <c r="I13" s="26"/>
      <c r="K13" s="25" t="s">
        <v>23</v>
      </c>
      <c r="L13" s="26"/>
      <c r="M13" s="26"/>
      <c r="N13" s="26"/>
      <c r="O13" s="26"/>
      <c r="P13" s="26"/>
      <c r="Q13" s="26"/>
      <c r="R13" s="26"/>
      <c r="S13" s="26"/>
    </row>
    <row r="14" spans="1:19" ht="19.899999999999999" customHeight="1" x14ac:dyDescent="0.1">
      <c r="A14" s="21" t="s">
        <v>11</v>
      </c>
      <c r="B14" s="22"/>
      <c r="C14" s="23"/>
      <c r="D14" s="21" t="s">
        <v>13</v>
      </c>
      <c r="E14" s="22"/>
      <c r="F14" s="23"/>
      <c r="G14" s="21" t="s">
        <v>12</v>
      </c>
      <c r="H14" s="22"/>
      <c r="I14" s="23"/>
      <c r="K14" s="21" t="s">
        <v>11</v>
      </c>
      <c r="L14" s="22"/>
      <c r="M14" s="23"/>
      <c r="N14" s="21" t="s">
        <v>13</v>
      </c>
      <c r="O14" s="22"/>
      <c r="P14" s="23"/>
      <c r="Q14" s="21" t="s">
        <v>12</v>
      </c>
      <c r="R14" s="22"/>
      <c r="S14" s="23"/>
    </row>
    <row r="15" spans="1:19" x14ac:dyDescent="0.1">
      <c r="A15" s="20" t="s">
        <v>0</v>
      </c>
      <c r="B15" s="20"/>
      <c r="C15" s="20"/>
      <c r="D15" s="20" t="s">
        <v>0</v>
      </c>
      <c r="E15" s="20"/>
      <c r="F15" s="20"/>
      <c r="G15" s="20" t="s">
        <v>0</v>
      </c>
      <c r="H15" s="20"/>
      <c r="I15" s="20"/>
      <c r="K15" s="20" t="s">
        <v>0</v>
      </c>
      <c r="L15" s="20"/>
      <c r="M15" s="20"/>
      <c r="N15" s="20" t="s">
        <v>0</v>
      </c>
      <c r="O15" s="20"/>
      <c r="P15" s="20"/>
      <c r="Q15" s="20" t="s">
        <v>0</v>
      </c>
      <c r="R15" s="20"/>
      <c r="S15" s="20"/>
    </row>
    <row r="16" spans="1:19" x14ac:dyDescent="0.1">
      <c r="A16" s="3"/>
      <c r="B16" s="4" t="s">
        <v>9</v>
      </c>
      <c r="C16" s="4" t="s">
        <v>10</v>
      </c>
      <c r="D16" s="3"/>
      <c r="E16" s="4" t="s">
        <v>9</v>
      </c>
      <c r="F16" s="4" t="s">
        <v>10</v>
      </c>
      <c r="G16" s="3"/>
      <c r="H16" s="4" t="s">
        <v>9</v>
      </c>
      <c r="I16" s="4" t="s">
        <v>10</v>
      </c>
      <c r="K16" s="5"/>
      <c r="L16" s="4" t="s">
        <v>9</v>
      </c>
      <c r="M16" s="4" t="s">
        <v>10</v>
      </c>
      <c r="N16" s="5"/>
      <c r="O16" s="4" t="s">
        <v>9</v>
      </c>
      <c r="P16" s="4" t="s">
        <v>10</v>
      </c>
      <c r="Q16" s="5"/>
      <c r="R16" s="4" t="s">
        <v>9</v>
      </c>
      <c r="S16" s="4" t="s">
        <v>10</v>
      </c>
    </row>
    <row r="17" spans="1:19" x14ac:dyDescent="0.1">
      <c r="A17" s="10" t="s">
        <v>19</v>
      </c>
      <c r="B17" s="11">
        <f>B5-F34</f>
        <v>0</v>
      </c>
      <c r="C17" s="11">
        <f>C5+G34</f>
        <v>0</v>
      </c>
      <c r="D17" s="10" t="s">
        <v>19</v>
      </c>
      <c r="E17" s="11">
        <f>E5-F35</f>
        <v>0</v>
      </c>
      <c r="F17" s="11">
        <f>F5+G35</f>
        <v>0</v>
      </c>
      <c r="G17" s="10" t="s">
        <v>19</v>
      </c>
      <c r="H17" s="11">
        <f>H5-F36</f>
        <v>0</v>
      </c>
      <c r="I17" s="11">
        <f>I5+G36</f>
        <v>0</v>
      </c>
      <c r="K17" s="6" t="s">
        <v>1</v>
      </c>
      <c r="L17" s="8">
        <f>L5</f>
        <v>0</v>
      </c>
      <c r="M17" s="8">
        <f>M5</f>
        <v>0</v>
      </c>
      <c r="N17" s="6" t="s">
        <v>1</v>
      </c>
      <c r="O17" s="8">
        <f>O5</f>
        <v>0</v>
      </c>
      <c r="P17" s="8">
        <f>P5</f>
        <v>0</v>
      </c>
      <c r="Q17" s="6" t="s">
        <v>1</v>
      </c>
      <c r="R17" s="8">
        <f>R5</f>
        <v>0</v>
      </c>
      <c r="S17" s="8">
        <f>S5</f>
        <v>0</v>
      </c>
    </row>
    <row r="18" spans="1:19" x14ac:dyDescent="0.1">
      <c r="A18" s="6" t="s">
        <v>2</v>
      </c>
      <c r="B18" s="8">
        <f>B6</f>
        <v>0</v>
      </c>
      <c r="C18" s="8">
        <f>C6</f>
        <v>0</v>
      </c>
      <c r="D18" s="6" t="s">
        <v>2</v>
      </c>
      <c r="E18" s="8">
        <f>E6</f>
        <v>0</v>
      </c>
      <c r="F18" s="8">
        <f>F6</f>
        <v>0</v>
      </c>
      <c r="G18" s="6" t="s">
        <v>2</v>
      </c>
      <c r="H18" s="8">
        <f>H6</f>
        <v>0</v>
      </c>
      <c r="I18" s="8">
        <f>I6</f>
        <v>0</v>
      </c>
      <c r="K18" s="10" t="s">
        <v>2</v>
      </c>
      <c r="L18" s="11">
        <f>L6-P34</f>
        <v>0</v>
      </c>
      <c r="M18" s="11">
        <f>M6+Q34</f>
        <v>0</v>
      </c>
      <c r="N18" s="10" t="s">
        <v>2</v>
      </c>
      <c r="O18" s="11">
        <f>O6-P35</f>
        <v>0</v>
      </c>
      <c r="P18" s="11">
        <f>P6+Q35</f>
        <v>0</v>
      </c>
      <c r="Q18" s="10" t="s">
        <v>2</v>
      </c>
      <c r="R18" s="11">
        <f>R6-P36</f>
        <v>0</v>
      </c>
      <c r="S18" s="11">
        <f>S6+Q36</f>
        <v>0</v>
      </c>
    </row>
    <row r="19" spans="1:19" x14ac:dyDescent="0.1">
      <c r="A19" s="10" t="s">
        <v>3</v>
      </c>
      <c r="B19" s="11">
        <f>B7-F37</f>
        <v>0</v>
      </c>
      <c r="C19" s="11">
        <f>C7+G37</f>
        <v>0</v>
      </c>
      <c r="D19" s="10" t="s">
        <v>3</v>
      </c>
      <c r="E19" s="11">
        <f>E7-F38</f>
        <v>0</v>
      </c>
      <c r="F19" s="11">
        <f>F7+G38</f>
        <v>0</v>
      </c>
      <c r="G19" s="10" t="s">
        <v>3</v>
      </c>
      <c r="H19" s="11">
        <f>H7-F39</f>
        <v>0</v>
      </c>
      <c r="I19" s="11">
        <f>I7+G39</f>
        <v>0</v>
      </c>
      <c r="K19" s="6" t="s">
        <v>3</v>
      </c>
      <c r="L19" s="8">
        <f>L7</f>
        <v>0</v>
      </c>
      <c r="M19" s="8">
        <f>M7</f>
        <v>0</v>
      </c>
      <c r="N19" s="6" t="s">
        <v>3</v>
      </c>
      <c r="O19" s="8">
        <f>O7</f>
        <v>0</v>
      </c>
      <c r="P19" s="8">
        <f>P7</f>
        <v>0</v>
      </c>
      <c r="Q19" s="6" t="s">
        <v>3</v>
      </c>
      <c r="R19" s="8">
        <f>R7</f>
        <v>0</v>
      </c>
      <c r="S19" s="8">
        <f>S7</f>
        <v>0</v>
      </c>
    </row>
    <row r="20" spans="1:19" x14ac:dyDescent="0.1">
      <c r="A20" s="6" t="s">
        <v>4</v>
      </c>
      <c r="B20" s="8">
        <f>B8</f>
        <v>0</v>
      </c>
      <c r="C20" s="8">
        <f>C8</f>
        <v>0</v>
      </c>
      <c r="D20" s="6" t="s">
        <v>4</v>
      </c>
      <c r="E20" s="8">
        <f>E8</f>
        <v>0</v>
      </c>
      <c r="F20" s="8">
        <f>F8</f>
        <v>0</v>
      </c>
      <c r="G20" s="6" t="s">
        <v>4</v>
      </c>
      <c r="H20" s="8">
        <f>H8</f>
        <v>0</v>
      </c>
      <c r="I20" s="8">
        <f>I8</f>
        <v>0</v>
      </c>
      <c r="K20" s="10" t="s">
        <v>4</v>
      </c>
      <c r="L20" s="11">
        <f>L8-P37</f>
        <v>0</v>
      </c>
      <c r="M20" s="11">
        <f>M8+Q37</f>
        <v>0</v>
      </c>
      <c r="N20" s="10" t="s">
        <v>4</v>
      </c>
      <c r="O20" s="11">
        <f>O8-P38</f>
        <v>0</v>
      </c>
      <c r="P20" s="11">
        <f>P8+Q38</f>
        <v>0</v>
      </c>
      <c r="Q20" s="10" t="s">
        <v>4</v>
      </c>
      <c r="R20" s="11">
        <f>R8-P39</f>
        <v>0</v>
      </c>
      <c r="S20" s="11">
        <f>S8+Q39</f>
        <v>0</v>
      </c>
    </row>
    <row r="21" spans="1:19" x14ac:dyDescent="0.1">
      <c r="A21" s="10" t="s">
        <v>5</v>
      </c>
      <c r="B21" s="11">
        <f>B9-F31</f>
        <v>0</v>
      </c>
      <c r="C21" s="11">
        <f>C9+G31</f>
        <v>0</v>
      </c>
      <c r="D21" s="10" t="s">
        <v>5</v>
      </c>
      <c r="E21" s="11">
        <f>E9-F32</f>
        <v>0</v>
      </c>
      <c r="F21" s="11">
        <f>F9+G32</f>
        <v>0</v>
      </c>
      <c r="G21" s="10" t="s">
        <v>5</v>
      </c>
      <c r="H21" s="11">
        <f>H9-F33</f>
        <v>0</v>
      </c>
      <c r="I21" s="11">
        <f>I9+G33</f>
        <v>0</v>
      </c>
      <c r="K21" s="6" t="s">
        <v>5</v>
      </c>
      <c r="L21" s="8">
        <f>L9</f>
        <v>0</v>
      </c>
      <c r="M21" s="8">
        <f>M9</f>
        <v>0</v>
      </c>
      <c r="N21" s="6" t="s">
        <v>5</v>
      </c>
      <c r="O21" s="8">
        <f>O9</f>
        <v>0</v>
      </c>
      <c r="P21" s="8">
        <f>P9</f>
        <v>0</v>
      </c>
      <c r="Q21" s="6" t="s">
        <v>5</v>
      </c>
      <c r="R21" s="8">
        <f>R9</f>
        <v>0</v>
      </c>
      <c r="S21" s="8">
        <f>S9</f>
        <v>0</v>
      </c>
    </row>
    <row r="22" spans="1:19" x14ac:dyDescent="0.1">
      <c r="A22" s="6" t="s">
        <v>6</v>
      </c>
      <c r="B22" s="8">
        <f>B10</f>
        <v>0</v>
      </c>
      <c r="C22" s="8">
        <f>C10</f>
        <v>0</v>
      </c>
      <c r="D22" s="6" t="s">
        <v>6</v>
      </c>
      <c r="E22" s="8">
        <f>E10</f>
        <v>0</v>
      </c>
      <c r="F22" s="8">
        <f>F10</f>
        <v>0</v>
      </c>
      <c r="G22" s="6" t="s">
        <v>6</v>
      </c>
      <c r="H22" s="8">
        <f>H10</f>
        <v>0</v>
      </c>
      <c r="I22" s="8">
        <f>I10</f>
        <v>0</v>
      </c>
      <c r="K22" s="10" t="s">
        <v>6</v>
      </c>
      <c r="L22" s="11">
        <f>L10-P31</f>
        <v>0</v>
      </c>
      <c r="M22" s="11">
        <f>M10+Q31</f>
        <v>0</v>
      </c>
      <c r="N22" s="10" t="s">
        <v>6</v>
      </c>
      <c r="O22" s="11">
        <f>O10-P32</f>
        <v>0</v>
      </c>
      <c r="P22" s="11">
        <f>P10+Q32</f>
        <v>0</v>
      </c>
      <c r="Q22" s="10" t="s">
        <v>6</v>
      </c>
      <c r="R22" s="11">
        <f>R10-P33</f>
        <v>0</v>
      </c>
      <c r="S22" s="11">
        <f>S10+Q33</f>
        <v>0</v>
      </c>
    </row>
    <row r="23" spans="1:19" x14ac:dyDescent="0.1">
      <c r="A23" s="10" t="s">
        <v>7</v>
      </c>
      <c r="B23" s="11">
        <f>B11-F28</f>
        <v>0</v>
      </c>
      <c r="C23" s="11">
        <f>C11+G28</f>
        <v>0</v>
      </c>
      <c r="D23" s="10" t="s">
        <v>7</v>
      </c>
      <c r="E23" s="11">
        <f>E11-F29</f>
        <v>0</v>
      </c>
      <c r="F23" s="11">
        <f>F11+G29</f>
        <v>0</v>
      </c>
      <c r="G23" s="10" t="s">
        <v>7</v>
      </c>
      <c r="H23" s="11">
        <f>H11-F30</f>
        <v>0</v>
      </c>
      <c r="I23" s="11">
        <f>I11+G30</f>
        <v>0</v>
      </c>
      <c r="K23" s="6" t="s">
        <v>7</v>
      </c>
      <c r="L23" s="8">
        <f>L11</f>
        <v>0</v>
      </c>
      <c r="M23" s="8">
        <f>M11</f>
        <v>0</v>
      </c>
      <c r="N23" s="6" t="s">
        <v>7</v>
      </c>
      <c r="O23" s="8">
        <f>O11</f>
        <v>0</v>
      </c>
      <c r="P23" s="8">
        <f>P11</f>
        <v>0</v>
      </c>
      <c r="Q23" s="6" t="s">
        <v>7</v>
      </c>
      <c r="R23" s="8">
        <f>R11</f>
        <v>0</v>
      </c>
      <c r="S23" s="8">
        <f>S11</f>
        <v>0</v>
      </c>
    </row>
    <row r="24" spans="1:19" x14ac:dyDescent="0.1">
      <c r="A24" s="6" t="s">
        <v>8</v>
      </c>
      <c r="B24" s="8">
        <f>B12</f>
        <v>0</v>
      </c>
      <c r="C24" s="8">
        <f>C12</f>
        <v>0</v>
      </c>
      <c r="D24" s="6" t="s">
        <v>8</v>
      </c>
      <c r="E24" s="8">
        <f>E12</f>
        <v>0</v>
      </c>
      <c r="F24" s="8">
        <f>F12</f>
        <v>0</v>
      </c>
      <c r="G24" s="6" t="s">
        <v>8</v>
      </c>
      <c r="H24" s="8">
        <f>H12</f>
        <v>0</v>
      </c>
      <c r="I24" s="8">
        <f>I12</f>
        <v>0</v>
      </c>
      <c r="K24" s="10" t="s">
        <v>8</v>
      </c>
      <c r="L24" s="11">
        <f>L12-P28</f>
        <v>0</v>
      </c>
      <c r="M24" s="11">
        <f>M12+Q28</f>
        <v>0</v>
      </c>
      <c r="N24" s="10" t="s">
        <v>8</v>
      </c>
      <c r="O24" s="11">
        <f>O12-P29</f>
        <v>0</v>
      </c>
      <c r="P24" s="11">
        <f>P12+Q29</f>
        <v>0</v>
      </c>
      <c r="Q24" s="10" t="s">
        <v>8</v>
      </c>
      <c r="R24" s="11">
        <f>R12-P30</f>
        <v>0</v>
      </c>
      <c r="S24" s="11">
        <f>S12+Q30</f>
        <v>0</v>
      </c>
    </row>
    <row r="26" spans="1:19" x14ac:dyDescent="0.1">
      <c r="A26" s="20" t="s">
        <v>14</v>
      </c>
      <c r="B26" s="24" t="s">
        <v>15</v>
      </c>
      <c r="C26" s="20" t="s">
        <v>17</v>
      </c>
      <c r="D26" s="20"/>
      <c r="E26" s="20"/>
      <c r="F26" s="20" t="s">
        <v>18</v>
      </c>
      <c r="G26" s="20"/>
      <c r="H26" s="20"/>
      <c r="K26" s="20" t="s">
        <v>14</v>
      </c>
      <c r="L26" s="24" t="s">
        <v>15</v>
      </c>
      <c r="M26" s="20" t="s">
        <v>17</v>
      </c>
      <c r="N26" s="20"/>
      <c r="O26" s="20"/>
      <c r="P26" s="20" t="s">
        <v>18</v>
      </c>
      <c r="Q26" s="20"/>
      <c r="R26" s="20"/>
    </row>
    <row r="27" spans="1:19" x14ac:dyDescent="0.1">
      <c r="A27" s="20"/>
      <c r="B27" s="20"/>
      <c r="C27" s="3" t="s">
        <v>9</v>
      </c>
      <c r="D27" s="3" t="s">
        <v>10</v>
      </c>
      <c r="E27" s="3" t="s">
        <v>16</v>
      </c>
      <c r="F27" s="3" t="s">
        <v>9</v>
      </c>
      <c r="G27" s="3" t="s">
        <v>10</v>
      </c>
      <c r="H27" s="3" t="s">
        <v>16</v>
      </c>
      <c r="K27" s="20"/>
      <c r="L27" s="20"/>
      <c r="M27" s="5" t="s">
        <v>9</v>
      </c>
      <c r="N27" s="5" t="s">
        <v>10</v>
      </c>
      <c r="O27" s="5" t="s">
        <v>16</v>
      </c>
      <c r="P27" s="5" t="s">
        <v>9</v>
      </c>
      <c r="Q27" s="5" t="s">
        <v>10</v>
      </c>
      <c r="R27" s="5" t="s">
        <v>16</v>
      </c>
    </row>
    <row r="28" spans="1:19" x14ac:dyDescent="0.1">
      <c r="A28">
        <v>1</v>
      </c>
      <c r="B28">
        <v>1</v>
      </c>
      <c r="C28" s="12">
        <v>101</v>
      </c>
      <c r="D28" s="12">
        <v>129</v>
      </c>
      <c r="E28">
        <v>-90</v>
      </c>
      <c r="F28" s="13"/>
      <c r="G28" s="13"/>
      <c r="H28" s="13">
        <v>0</v>
      </c>
      <c r="K28">
        <v>1</v>
      </c>
      <c r="L28">
        <v>1</v>
      </c>
      <c r="M28" s="12">
        <v>80</v>
      </c>
      <c r="N28" s="12">
        <v>144</v>
      </c>
      <c r="O28">
        <v>-45</v>
      </c>
      <c r="P28" s="13"/>
      <c r="Q28" s="13"/>
      <c r="R28" s="13">
        <v>0</v>
      </c>
    </row>
    <row r="29" spans="1:19" x14ac:dyDescent="0.1">
      <c r="A29">
        <v>2</v>
      </c>
      <c r="B29">
        <v>2</v>
      </c>
      <c r="C29" s="12">
        <v>143</v>
      </c>
      <c r="D29" s="12">
        <v>129</v>
      </c>
      <c r="E29">
        <v>-90</v>
      </c>
      <c r="F29" s="13"/>
      <c r="G29" s="13"/>
      <c r="H29" s="13">
        <v>0</v>
      </c>
      <c r="K29">
        <v>2</v>
      </c>
      <c r="L29">
        <v>2</v>
      </c>
      <c r="M29" s="12">
        <v>140</v>
      </c>
      <c r="N29" s="12">
        <v>144</v>
      </c>
      <c r="O29">
        <v>-45</v>
      </c>
      <c r="P29" s="13"/>
      <c r="Q29" s="13"/>
      <c r="R29" s="13">
        <v>0</v>
      </c>
    </row>
    <row r="30" spans="1:19" x14ac:dyDescent="0.1">
      <c r="A30">
        <v>3</v>
      </c>
      <c r="B30">
        <v>3</v>
      </c>
      <c r="C30" s="12">
        <v>185</v>
      </c>
      <c r="D30" s="12">
        <v>129</v>
      </c>
      <c r="E30">
        <v>-90</v>
      </c>
      <c r="F30" s="13"/>
      <c r="G30" s="13"/>
      <c r="H30" s="13">
        <v>0</v>
      </c>
      <c r="K30">
        <v>3</v>
      </c>
      <c r="L30">
        <v>3</v>
      </c>
      <c r="M30" s="12">
        <v>200</v>
      </c>
      <c r="N30" s="12">
        <v>144</v>
      </c>
      <c r="O30">
        <v>-45</v>
      </c>
      <c r="P30" s="13"/>
      <c r="Q30" s="13"/>
      <c r="R30" s="13">
        <v>0</v>
      </c>
    </row>
    <row r="31" spans="1:19" x14ac:dyDescent="0.1">
      <c r="A31">
        <v>4</v>
      </c>
      <c r="B31">
        <v>1</v>
      </c>
      <c r="C31" s="12">
        <v>101</v>
      </c>
      <c r="D31" s="12">
        <v>150</v>
      </c>
      <c r="E31">
        <v>180</v>
      </c>
      <c r="F31" s="13"/>
      <c r="G31" s="13"/>
      <c r="H31" s="13">
        <v>0</v>
      </c>
      <c r="K31">
        <v>4</v>
      </c>
      <c r="L31">
        <v>1</v>
      </c>
      <c r="M31" s="12">
        <v>95</v>
      </c>
      <c r="N31" s="12">
        <v>129</v>
      </c>
      <c r="O31">
        <v>-135</v>
      </c>
      <c r="P31" s="13"/>
      <c r="Q31" s="13"/>
      <c r="R31" s="13">
        <v>0</v>
      </c>
    </row>
    <row r="32" spans="1:19" x14ac:dyDescent="0.1">
      <c r="A32">
        <v>5</v>
      </c>
      <c r="B32">
        <v>2</v>
      </c>
      <c r="C32" s="12">
        <v>143</v>
      </c>
      <c r="D32" s="12">
        <v>150</v>
      </c>
      <c r="E32">
        <v>180</v>
      </c>
      <c r="F32" s="13"/>
      <c r="G32" s="13"/>
      <c r="H32" s="13">
        <v>0</v>
      </c>
      <c r="K32">
        <v>5</v>
      </c>
      <c r="L32">
        <v>2</v>
      </c>
      <c r="M32" s="12">
        <v>155</v>
      </c>
      <c r="N32" s="12">
        <v>129</v>
      </c>
      <c r="O32">
        <v>-135</v>
      </c>
      <c r="P32" s="13"/>
      <c r="Q32" s="13"/>
      <c r="R32" s="13">
        <v>0</v>
      </c>
    </row>
    <row r="33" spans="1:18" x14ac:dyDescent="0.1">
      <c r="A33">
        <v>6</v>
      </c>
      <c r="B33">
        <v>3</v>
      </c>
      <c r="C33" s="12">
        <v>185</v>
      </c>
      <c r="D33" s="12">
        <v>150</v>
      </c>
      <c r="E33">
        <v>180</v>
      </c>
      <c r="F33" s="13"/>
      <c r="G33" s="14"/>
      <c r="H33" s="13">
        <v>0</v>
      </c>
      <c r="K33">
        <v>6</v>
      </c>
      <c r="L33">
        <v>3</v>
      </c>
      <c r="M33" s="12">
        <v>215</v>
      </c>
      <c r="N33" s="12">
        <v>129</v>
      </c>
      <c r="O33">
        <v>-135</v>
      </c>
      <c r="P33" s="13"/>
      <c r="Q33" s="13"/>
      <c r="R33" s="13">
        <v>0</v>
      </c>
    </row>
    <row r="34" spans="1:18" x14ac:dyDescent="0.1">
      <c r="A34">
        <v>7</v>
      </c>
      <c r="B34">
        <v>1</v>
      </c>
      <c r="C34" s="12">
        <v>80</v>
      </c>
      <c r="D34" s="12">
        <v>129</v>
      </c>
      <c r="E34">
        <v>0</v>
      </c>
      <c r="F34" s="13"/>
      <c r="G34" s="14"/>
      <c r="H34" s="13">
        <v>0</v>
      </c>
      <c r="K34">
        <v>7</v>
      </c>
      <c r="L34">
        <v>1</v>
      </c>
      <c r="M34" s="12">
        <v>50</v>
      </c>
      <c r="N34" s="12">
        <v>144</v>
      </c>
      <c r="O34">
        <v>45</v>
      </c>
      <c r="P34" s="13"/>
      <c r="Q34" s="13"/>
      <c r="R34" s="13">
        <v>0</v>
      </c>
    </row>
    <row r="35" spans="1:18" x14ac:dyDescent="0.1">
      <c r="A35">
        <v>8</v>
      </c>
      <c r="B35">
        <v>2</v>
      </c>
      <c r="C35" s="12">
        <v>122</v>
      </c>
      <c r="D35" s="12">
        <v>129</v>
      </c>
      <c r="E35">
        <v>0</v>
      </c>
      <c r="F35" s="13"/>
      <c r="G35" s="14"/>
      <c r="H35" s="13">
        <v>0</v>
      </c>
      <c r="K35">
        <v>8</v>
      </c>
      <c r="L35">
        <v>2</v>
      </c>
      <c r="M35" s="12">
        <v>110</v>
      </c>
      <c r="N35" s="12">
        <v>144</v>
      </c>
      <c r="O35">
        <v>45</v>
      </c>
      <c r="P35" s="13"/>
      <c r="Q35" s="13"/>
      <c r="R35" s="13">
        <v>0</v>
      </c>
    </row>
    <row r="36" spans="1:18" x14ac:dyDescent="0.1">
      <c r="A36">
        <v>9</v>
      </c>
      <c r="B36">
        <v>3</v>
      </c>
      <c r="C36" s="12">
        <v>164</v>
      </c>
      <c r="D36" s="12">
        <v>129</v>
      </c>
      <c r="E36">
        <v>0</v>
      </c>
      <c r="F36" s="13"/>
      <c r="G36" s="14"/>
      <c r="H36" s="13">
        <v>0</v>
      </c>
      <c r="K36">
        <v>9</v>
      </c>
      <c r="L36">
        <v>3</v>
      </c>
      <c r="M36" s="12">
        <v>170</v>
      </c>
      <c r="N36" s="12">
        <v>144</v>
      </c>
      <c r="O36">
        <v>45</v>
      </c>
      <c r="P36" s="13"/>
      <c r="Q36" s="13"/>
      <c r="R36" s="13">
        <v>0</v>
      </c>
    </row>
    <row r="37" spans="1:18" x14ac:dyDescent="0.1">
      <c r="A37">
        <v>10</v>
      </c>
      <c r="B37">
        <v>1</v>
      </c>
      <c r="C37" s="12">
        <v>80</v>
      </c>
      <c r="D37" s="12">
        <v>150</v>
      </c>
      <c r="E37">
        <v>90</v>
      </c>
      <c r="F37" s="13"/>
      <c r="G37" s="13"/>
      <c r="H37" s="13">
        <v>0</v>
      </c>
      <c r="K37">
        <v>10</v>
      </c>
      <c r="L37">
        <v>1</v>
      </c>
      <c r="M37" s="12">
        <v>65</v>
      </c>
      <c r="N37" s="12">
        <v>129</v>
      </c>
      <c r="O37">
        <v>135</v>
      </c>
      <c r="P37" s="13"/>
      <c r="Q37" s="13"/>
      <c r="R37" s="13">
        <v>0</v>
      </c>
    </row>
    <row r="38" spans="1:18" x14ac:dyDescent="0.1">
      <c r="A38">
        <v>11</v>
      </c>
      <c r="B38">
        <v>2</v>
      </c>
      <c r="C38" s="12">
        <v>122</v>
      </c>
      <c r="D38" s="12">
        <v>150</v>
      </c>
      <c r="E38">
        <v>90</v>
      </c>
      <c r="F38" s="13"/>
      <c r="G38" s="13"/>
      <c r="H38" s="13">
        <v>0</v>
      </c>
      <c r="K38">
        <v>11</v>
      </c>
      <c r="L38">
        <v>2</v>
      </c>
      <c r="M38" s="12">
        <v>125</v>
      </c>
      <c r="N38" s="12">
        <v>129</v>
      </c>
      <c r="O38">
        <v>135</v>
      </c>
      <c r="P38" s="13"/>
      <c r="Q38" s="13"/>
      <c r="R38" s="13">
        <v>0</v>
      </c>
    </row>
    <row r="39" spans="1:18" x14ac:dyDescent="0.1">
      <c r="A39">
        <v>12</v>
      </c>
      <c r="B39">
        <v>3</v>
      </c>
      <c r="C39" s="12">
        <v>164</v>
      </c>
      <c r="D39" s="12">
        <v>150</v>
      </c>
      <c r="E39">
        <v>90</v>
      </c>
      <c r="F39" s="13"/>
      <c r="G39" s="13"/>
      <c r="H39" s="13">
        <v>0</v>
      </c>
      <c r="K39">
        <v>12</v>
      </c>
      <c r="L39">
        <v>3</v>
      </c>
      <c r="M39" s="12">
        <v>185</v>
      </c>
      <c r="N39" s="12">
        <v>129</v>
      </c>
      <c r="O39">
        <v>135</v>
      </c>
      <c r="P39" s="13"/>
      <c r="Q39" s="13"/>
      <c r="R39" s="13">
        <v>0</v>
      </c>
    </row>
    <row r="40" spans="1:18" x14ac:dyDescent="0.1">
      <c r="A40"/>
      <c r="G40"/>
      <c r="K40"/>
      <c r="Q40"/>
    </row>
    <row r="41" spans="1:18" x14ac:dyDescent="0.1">
      <c r="A41"/>
      <c r="G41"/>
      <c r="K41"/>
      <c r="Q41"/>
    </row>
    <row r="42" spans="1:18" x14ac:dyDescent="0.1">
      <c r="A42"/>
      <c r="G42"/>
      <c r="K42"/>
      <c r="Q42"/>
    </row>
    <row r="43" spans="1:18" x14ac:dyDescent="0.1">
      <c r="A43"/>
      <c r="G43"/>
      <c r="K43"/>
      <c r="Q43"/>
    </row>
    <row r="44" spans="1:18" x14ac:dyDescent="0.1">
      <c r="A44"/>
      <c r="G44"/>
      <c r="K44"/>
      <c r="Q44"/>
    </row>
    <row r="45" spans="1:18" x14ac:dyDescent="0.1">
      <c r="A45"/>
      <c r="G45"/>
      <c r="K45"/>
      <c r="Q45"/>
    </row>
    <row r="46" spans="1:18" x14ac:dyDescent="0.1">
      <c r="A46"/>
      <c r="G46"/>
      <c r="K46"/>
      <c r="Q46"/>
    </row>
    <row r="47" spans="1:18" x14ac:dyDescent="0.1">
      <c r="A47"/>
      <c r="G47"/>
      <c r="K47"/>
      <c r="Q47"/>
    </row>
    <row r="48" spans="1:18" x14ac:dyDescent="0.1">
      <c r="A48"/>
      <c r="G48"/>
      <c r="K48"/>
      <c r="Q48"/>
    </row>
    <row r="49" customFormat="1" x14ac:dyDescent="0.1"/>
    <row r="50" customFormat="1" x14ac:dyDescent="0.1"/>
    <row r="51" customFormat="1" x14ac:dyDescent="0.1"/>
    <row r="52" customFormat="1" x14ac:dyDescent="0.1"/>
    <row r="53" customFormat="1" x14ac:dyDescent="0.1"/>
    <row r="54" customFormat="1" x14ac:dyDescent="0.1"/>
    <row r="55" customFormat="1" x14ac:dyDescent="0.1"/>
    <row r="56" customFormat="1" x14ac:dyDescent="0.1"/>
    <row r="57" customFormat="1" x14ac:dyDescent="0.1"/>
    <row r="58" customFormat="1" x14ac:dyDescent="0.1"/>
    <row r="59" customFormat="1" x14ac:dyDescent="0.1"/>
    <row r="60" customFormat="1" x14ac:dyDescent="0.1"/>
    <row r="61" customFormat="1" x14ac:dyDescent="0.1"/>
    <row r="62" customFormat="1" x14ac:dyDescent="0.1"/>
    <row r="63" customFormat="1" x14ac:dyDescent="0.1"/>
    <row r="64" customFormat="1" x14ac:dyDescent="0.1"/>
    <row r="65" customFormat="1" x14ac:dyDescent="0.1"/>
    <row r="66" customFormat="1" x14ac:dyDescent="0.1"/>
    <row r="67" customFormat="1" x14ac:dyDescent="0.1"/>
    <row r="68" customFormat="1" x14ac:dyDescent="0.1"/>
    <row r="69" customFormat="1" x14ac:dyDescent="0.1"/>
    <row r="70" customFormat="1" x14ac:dyDescent="0.1"/>
    <row r="71" customFormat="1" x14ac:dyDescent="0.1"/>
    <row r="72" customFormat="1" x14ac:dyDescent="0.1"/>
    <row r="73" customFormat="1" x14ac:dyDescent="0.1"/>
    <row r="74" customFormat="1" x14ac:dyDescent="0.1"/>
    <row r="75" customFormat="1" x14ac:dyDescent="0.1"/>
  </sheetData>
  <protectedRanges>
    <protectedRange sqref="H5:I12" name="区域5"/>
    <protectedRange sqref="E5:F12" name="区域4"/>
    <protectedRange sqref="B5:C12" name="区域3"/>
    <protectedRange sqref="P28:Q39" name="区域2"/>
    <protectedRange sqref="F28:G39" name="区域1"/>
  </protectedRanges>
  <mergeCells count="36">
    <mergeCell ref="N15:P15"/>
    <mergeCell ref="K13:S13"/>
    <mergeCell ref="D3:F3"/>
    <mergeCell ref="K1:S1"/>
    <mergeCell ref="K3:M3"/>
    <mergeCell ref="N2:P2"/>
    <mergeCell ref="K15:M15"/>
    <mergeCell ref="G15:I15"/>
    <mergeCell ref="D14:F14"/>
    <mergeCell ref="Q15:S15"/>
    <mergeCell ref="D2:F2"/>
    <mergeCell ref="N14:P14"/>
    <mergeCell ref="Q3:S3"/>
    <mergeCell ref="A13:I13"/>
    <mergeCell ref="A15:C15"/>
    <mergeCell ref="A14:C14"/>
    <mergeCell ref="A26:A27"/>
    <mergeCell ref="L26:L27"/>
    <mergeCell ref="K26:K27"/>
    <mergeCell ref="F26:H26"/>
    <mergeCell ref="K14:M14"/>
    <mergeCell ref="P26:R26"/>
    <mergeCell ref="A1:I1"/>
    <mergeCell ref="N3:P3"/>
    <mergeCell ref="Q2:S2"/>
    <mergeCell ref="A3:C3"/>
    <mergeCell ref="A2:C2"/>
    <mergeCell ref="G2:I2"/>
    <mergeCell ref="K2:M2"/>
    <mergeCell ref="Q14:S14"/>
    <mergeCell ref="B26:B27"/>
    <mergeCell ref="M26:O26"/>
    <mergeCell ref="D15:F15"/>
    <mergeCell ref="C26:E26"/>
    <mergeCell ref="G14:I14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S91"/>
  <sheetViews>
    <sheetView tabSelected="1" topLeftCell="M2" zoomScale="91" workbookViewId="0">
      <selection activeCell="O47" sqref="O47"/>
    </sheetView>
  </sheetViews>
  <sheetFormatPr defaultColWidth="8.99609375" defaultRowHeight="13.5" x14ac:dyDescent="0.1"/>
  <cols>
    <col min="1" max="1" width="8.86328125" style="1" customWidth="1"/>
    <col min="2" max="6" width="9.953125"/>
    <col min="7" max="7" width="8.86328125" style="1" customWidth="1"/>
    <col min="8" max="10" width="9.953125"/>
    <col min="11" max="11" width="8.86328125" style="1" customWidth="1"/>
    <col min="12" max="16" width="9.953125"/>
    <col min="17" max="17" width="8.86328125" style="1" customWidth="1"/>
    <col min="18" max="256" width="9.953125" customWidth="1"/>
  </cols>
  <sheetData>
    <row r="1" spans="1:19" s="2" customFormat="1" ht="25.15" customHeight="1" x14ac:dyDescent="0.1">
      <c r="A1" s="25" t="s">
        <v>24</v>
      </c>
      <c r="B1" s="26"/>
      <c r="C1" s="26"/>
      <c r="D1" s="26"/>
      <c r="E1" s="26"/>
      <c r="F1" s="26"/>
      <c r="G1" s="26"/>
      <c r="H1" s="26"/>
      <c r="I1" s="26"/>
      <c r="K1" s="25" t="s">
        <v>25</v>
      </c>
      <c r="L1" s="26"/>
      <c r="M1" s="26"/>
      <c r="N1" s="26"/>
      <c r="O1" s="26"/>
      <c r="P1" s="26"/>
      <c r="Q1" s="26"/>
      <c r="R1" s="26"/>
      <c r="S1" s="26"/>
    </row>
    <row r="2" spans="1:19" ht="19.899999999999999" customHeight="1" x14ac:dyDescent="0.1">
      <c r="A2" s="21" t="s">
        <v>11</v>
      </c>
      <c r="B2" s="22"/>
      <c r="C2" s="23"/>
      <c r="D2" s="21" t="s">
        <v>13</v>
      </c>
      <c r="E2" s="22"/>
      <c r="F2" s="23"/>
      <c r="G2" s="21" t="s">
        <v>12</v>
      </c>
      <c r="H2" s="22"/>
      <c r="I2" s="23"/>
      <c r="K2" s="21" t="s">
        <v>11</v>
      </c>
      <c r="L2" s="22"/>
      <c r="M2" s="23"/>
      <c r="N2" s="21" t="s">
        <v>13</v>
      </c>
      <c r="O2" s="22"/>
      <c r="P2" s="23"/>
      <c r="Q2" s="21" t="s">
        <v>12</v>
      </c>
      <c r="R2" s="22"/>
      <c r="S2" s="23"/>
    </row>
    <row r="3" spans="1:19" x14ac:dyDescent="0.1">
      <c r="A3" s="20" t="s">
        <v>0</v>
      </c>
      <c r="B3" s="20"/>
      <c r="C3" s="20"/>
      <c r="D3" s="20" t="s">
        <v>0</v>
      </c>
      <c r="E3" s="20"/>
      <c r="F3" s="20"/>
      <c r="G3" s="20" t="s">
        <v>0</v>
      </c>
      <c r="H3" s="20"/>
      <c r="I3" s="20"/>
      <c r="K3" s="20" t="s">
        <v>0</v>
      </c>
      <c r="L3" s="20"/>
      <c r="M3" s="20"/>
      <c r="N3" s="20" t="s">
        <v>0</v>
      </c>
      <c r="O3" s="20"/>
      <c r="P3" s="20"/>
      <c r="Q3" s="20" t="s">
        <v>0</v>
      </c>
      <c r="R3" s="20"/>
      <c r="S3" s="20"/>
    </row>
    <row r="4" spans="1:19" x14ac:dyDescent="0.1">
      <c r="A4" s="15"/>
      <c r="B4" s="4" t="s">
        <v>9</v>
      </c>
      <c r="C4" s="4" t="s">
        <v>10</v>
      </c>
      <c r="D4" s="15"/>
      <c r="E4" s="4" t="s">
        <v>9</v>
      </c>
      <c r="F4" s="4" t="s">
        <v>10</v>
      </c>
      <c r="G4" s="15"/>
      <c r="H4" s="4" t="s">
        <v>9</v>
      </c>
      <c r="I4" s="4" t="s">
        <v>10</v>
      </c>
      <c r="K4" s="15"/>
      <c r="L4" s="4" t="s">
        <v>9</v>
      </c>
      <c r="M4" s="4" t="s">
        <v>10</v>
      </c>
      <c r="N4" s="15"/>
      <c r="O4" s="4" t="s">
        <v>9</v>
      </c>
      <c r="P4" s="4" t="s">
        <v>10</v>
      </c>
      <c r="Q4" s="15"/>
      <c r="R4" s="4" t="s">
        <v>9</v>
      </c>
      <c r="S4" s="4" t="s">
        <v>10</v>
      </c>
    </row>
    <row r="5" spans="1:19" x14ac:dyDescent="0.1">
      <c r="A5" s="6" t="s">
        <v>19</v>
      </c>
      <c r="B5" s="8"/>
      <c r="C5" s="8"/>
      <c r="D5" s="6" t="s">
        <v>19</v>
      </c>
      <c r="E5" s="8"/>
      <c r="F5" s="8"/>
      <c r="G5" s="6" t="s">
        <v>19</v>
      </c>
      <c r="H5" s="8"/>
      <c r="I5" s="8"/>
      <c r="K5" s="6" t="s">
        <v>19</v>
      </c>
      <c r="L5" s="8"/>
      <c r="M5" s="8"/>
      <c r="N5" s="6" t="s">
        <v>19</v>
      </c>
      <c r="O5" s="8"/>
      <c r="P5" s="8"/>
      <c r="Q5" s="6" t="s">
        <v>19</v>
      </c>
      <c r="R5" s="8"/>
      <c r="S5" s="8"/>
    </row>
    <row r="6" spans="1:19" x14ac:dyDescent="0.1">
      <c r="A6" s="6" t="s">
        <v>2</v>
      </c>
      <c r="B6" s="8"/>
      <c r="C6" s="8"/>
      <c r="D6" s="6" t="s">
        <v>2</v>
      </c>
      <c r="E6" s="8"/>
      <c r="F6" s="8"/>
      <c r="G6" s="6" t="s">
        <v>2</v>
      </c>
      <c r="H6" s="8"/>
      <c r="I6" s="8"/>
      <c r="K6" s="6" t="s">
        <v>2</v>
      </c>
      <c r="L6" s="8"/>
      <c r="M6" s="8"/>
      <c r="N6" s="6" t="s">
        <v>2</v>
      </c>
      <c r="O6" s="8"/>
      <c r="P6" s="8"/>
      <c r="Q6" s="6" t="s">
        <v>2</v>
      </c>
      <c r="R6" s="8"/>
      <c r="S6" s="8"/>
    </row>
    <row r="7" spans="1:19" x14ac:dyDescent="0.1">
      <c r="A7" s="6" t="s">
        <v>3</v>
      </c>
      <c r="B7" s="8"/>
      <c r="C7" s="8"/>
      <c r="D7" s="6" t="s">
        <v>3</v>
      </c>
      <c r="E7" s="8"/>
      <c r="F7" s="8"/>
      <c r="G7" s="6" t="s">
        <v>3</v>
      </c>
      <c r="H7" s="8"/>
      <c r="I7" s="8"/>
      <c r="K7" s="6" t="s">
        <v>3</v>
      </c>
      <c r="L7" s="8"/>
      <c r="M7" s="8"/>
      <c r="N7" s="6" t="s">
        <v>3</v>
      </c>
      <c r="O7" s="8"/>
      <c r="P7" s="8"/>
      <c r="Q7" s="6" t="s">
        <v>3</v>
      </c>
      <c r="R7" s="8"/>
      <c r="S7" s="8"/>
    </row>
    <row r="8" spans="1:19" x14ac:dyDescent="0.1">
      <c r="A8" s="6" t="s">
        <v>4</v>
      </c>
      <c r="B8" s="8"/>
      <c r="C8" s="8"/>
      <c r="D8" s="6" t="s">
        <v>4</v>
      </c>
      <c r="E8" s="8"/>
      <c r="F8" s="8"/>
      <c r="G8" s="6" t="s">
        <v>4</v>
      </c>
      <c r="H8" s="8"/>
      <c r="I8" s="8"/>
      <c r="K8" s="6" t="s">
        <v>4</v>
      </c>
      <c r="L8" s="8"/>
      <c r="M8" s="8"/>
      <c r="N8" s="6" t="s">
        <v>4</v>
      </c>
      <c r="O8" s="8"/>
      <c r="P8" s="8"/>
      <c r="Q8" s="6" t="s">
        <v>4</v>
      </c>
      <c r="R8" s="8"/>
      <c r="S8" s="8"/>
    </row>
    <row r="9" spans="1:19" x14ac:dyDescent="0.1">
      <c r="A9" s="6" t="s">
        <v>5</v>
      </c>
      <c r="B9" s="8"/>
      <c r="C9" s="8"/>
      <c r="D9" s="6" t="s">
        <v>5</v>
      </c>
      <c r="E9" s="8"/>
      <c r="F9" s="8"/>
      <c r="G9" s="6" t="s">
        <v>5</v>
      </c>
      <c r="H9" s="8"/>
      <c r="I9" s="8"/>
      <c r="K9" s="6" t="s">
        <v>5</v>
      </c>
      <c r="L9" s="8"/>
      <c r="M9" s="8"/>
      <c r="N9" s="6" t="s">
        <v>5</v>
      </c>
      <c r="O9" s="8"/>
      <c r="P9" s="8"/>
      <c r="Q9" s="6" t="s">
        <v>5</v>
      </c>
      <c r="R9" s="8"/>
      <c r="S9" s="8"/>
    </row>
    <row r="10" spans="1:19" x14ac:dyDescent="0.1">
      <c r="A10" s="6" t="s">
        <v>6</v>
      </c>
      <c r="B10" s="8"/>
      <c r="C10" s="8"/>
      <c r="D10" s="6" t="s">
        <v>6</v>
      </c>
      <c r="E10" s="8"/>
      <c r="F10" s="8"/>
      <c r="G10" s="6" t="s">
        <v>6</v>
      </c>
      <c r="H10" s="8"/>
      <c r="I10" s="8"/>
      <c r="K10" s="6" t="s">
        <v>6</v>
      </c>
      <c r="L10" s="8"/>
      <c r="M10" s="8"/>
      <c r="N10" s="6" t="s">
        <v>6</v>
      </c>
      <c r="O10" s="8"/>
      <c r="P10" s="8"/>
      <c r="Q10" s="6" t="s">
        <v>6</v>
      </c>
      <c r="R10" s="8"/>
      <c r="S10" s="8"/>
    </row>
    <row r="11" spans="1:19" x14ac:dyDescent="0.1">
      <c r="A11" s="6" t="s">
        <v>7</v>
      </c>
      <c r="B11" s="8"/>
      <c r="C11" s="8"/>
      <c r="D11" s="6" t="s">
        <v>7</v>
      </c>
      <c r="E11" s="8"/>
      <c r="F11" s="8"/>
      <c r="G11" s="6" t="s">
        <v>7</v>
      </c>
      <c r="H11" s="8"/>
      <c r="I11" s="8"/>
      <c r="K11" s="6" t="s">
        <v>7</v>
      </c>
      <c r="L11" s="8"/>
      <c r="M11" s="8"/>
      <c r="N11" s="6" t="s">
        <v>7</v>
      </c>
      <c r="O11" s="8"/>
      <c r="P11" s="8"/>
      <c r="Q11" s="6" t="s">
        <v>7</v>
      </c>
      <c r="R11" s="8"/>
      <c r="S11" s="8"/>
    </row>
    <row r="12" spans="1:19" x14ac:dyDescent="0.1">
      <c r="A12" s="6" t="s">
        <v>8</v>
      </c>
      <c r="B12" s="8"/>
      <c r="C12" s="8"/>
      <c r="D12" s="6" t="s">
        <v>8</v>
      </c>
      <c r="E12" s="8"/>
      <c r="F12" s="8"/>
      <c r="G12" s="6" t="s">
        <v>8</v>
      </c>
      <c r="H12" s="8"/>
      <c r="I12" s="8"/>
      <c r="K12" s="6" t="s">
        <v>8</v>
      </c>
      <c r="L12" s="8"/>
      <c r="M12" s="8"/>
      <c r="N12" s="6" t="s">
        <v>8</v>
      </c>
      <c r="O12" s="8"/>
      <c r="P12" s="8"/>
      <c r="Q12" s="6" t="s">
        <v>8</v>
      </c>
      <c r="R12" s="8"/>
      <c r="S12" s="8"/>
    </row>
    <row r="13" spans="1:19" ht="25.15" customHeight="1" x14ac:dyDescent="0.1">
      <c r="A13" s="25" t="s">
        <v>26</v>
      </c>
      <c r="B13" s="26"/>
      <c r="C13" s="26"/>
      <c r="D13" s="26"/>
      <c r="E13" s="26"/>
      <c r="F13" s="26"/>
      <c r="G13" s="26"/>
      <c r="H13" s="26"/>
      <c r="I13" s="26"/>
      <c r="K13" s="25" t="s">
        <v>27</v>
      </c>
      <c r="L13" s="26"/>
      <c r="M13" s="26"/>
      <c r="N13" s="26"/>
      <c r="O13" s="26"/>
      <c r="P13" s="26"/>
      <c r="Q13" s="26"/>
      <c r="R13" s="26"/>
      <c r="S13" s="26"/>
    </row>
    <row r="14" spans="1:19" ht="19.899999999999999" customHeight="1" x14ac:dyDescent="0.1">
      <c r="A14" s="21" t="s">
        <v>11</v>
      </c>
      <c r="B14" s="22"/>
      <c r="C14" s="23"/>
      <c r="D14" s="21" t="s">
        <v>13</v>
      </c>
      <c r="E14" s="22"/>
      <c r="F14" s="23"/>
      <c r="G14" s="21" t="s">
        <v>12</v>
      </c>
      <c r="H14" s="22"/>
      <c r="I14" s="23"/>
      <c r="K14" s="21" t="s">
        <v>11</v>
      </c>
      <c r="L14" s="22"/>
      <c r="M14" s="23"/>
      <c r="N14" s="21" t="s">
        <v>13</v>
      </c>
      <c r="O14" s="22"/>
      <c r="P14" s="23"/>
      <c r="Q14" s="21" t="s">
        <v>12</v>
      </c>
      <c r="R14" s="22"/>
      <c r="S14" s="23"/>
    </row>
    <row r="15" spans="1:19" x14ac:dyDescent="0.1">
      <c r="A15" s="20" t="s">
        <v>0</v>
      </c>
      <c r="B15" s="20"/>
      <c r="C15" s="20"/>
      <c r="D15" s="20" t="s">
        <v>0</v>
      </c>
      <c r="E15" s="20"/>
      <c r="F15" s="20"/>
      <c r="G15" s="20" t="s">
        <v>0</v>
      </c>
      <c r="H15" s="20"/>
      <c r="I15" s="20"/>
      <c r="K15" s="20" t="s">
        <v>0</v>
      </c>
      <c r="L15" s="20"/>
      <c r="M15" s="20"/>
      <c r="N15" s="20" t="s">
        <v>0</v>
      </c>
      <c r="O15" s="20"/>
      <c r="P15" s="20"/>
      <c r="Q15" s="20" t="s">
        <v>0</v>
      </c>
      <c r="R15" s="20"/>
      <c r="S15" s="20"/>
    </row>
    <row r="16" spans="1:19" x14ac:dyDescent="0.1">
      <c r="A16" s="15"/>
      <c r="B16" s="4" t="s">
        <v>9</v>
      </c>
      <c r="C16" s="4" t="s">
        <v>10</v>
      </c>
      <c r="D16" s="15"/>
      <c r="E16" s="4" t="s">
        <v>9</v>
      </c>
      <c r="F16" s="4" t="s">
        <v>10</v>
      </c>
      <c r="G16" s="15"/>
      <c r="H16" s="4" t="s">
        <v>9</v>
      </c>
      <c r="I16" s="4" t="s">
        <v>10</v>
      </c>
      <c r="K16" s="15"/>
      <c r="L16" s="4" t="s">
        <v>9</v>
      </c>
      <c r="M16" s="4" t="s">
        <v>10</v>
      </c>
      <c r="N16" s="15"/>
      <c r="O16" s="4" t="s">
        <v>9</v>
      </c>
      <c r="P16" s="4" t="s">
        <v>10</v>
      </c>
      <c r="Q16" s="15"/>
      <c r="R16" s="4" t="s">
        <v>9</v>
      </c>
      <c r="S16" s="4" t="s">
        <v>10</v>
      </c>
    </row>
    <row r="17" spans="1:19" x14ac:dyDescent="0.1">
      <c r="A17" s="10" t="s">
        <v>19</v>
      </c>
      <c r="B17" s="11">
        <f>B5+F34</f>
        <v>0</v>
      </c>
      <c r="C17" s="11">
        <f>C5-G34</f>
        <v>0</v>
      </c>
      <c r="D17" s="10" t="s">
        <v>19</v>
      </c>
      <c r="E17" s="11">
        <f>E5+F35</f>
        <v>0</v>
      </c>
      <c r="F17" s="11">
        <f>F5-G35</f>
        <v>0</v>
      </c>
      <c r="G17" s="10" t="s">
        <v>19</v>
      </c>
      <c r="H17" s="11">
        <f>H5+F36</f>
        <v>0</v>
      </c>
      <c r="I17" s="11">
        <f>I5-G36</f>
        <v>0</v>
      </c>
      <c r="K17" s="6" t="s">
        <v>1</v>
      </c>
      <c r="L17" s="8">
        <f>L5</f>
        <v>0</v>
      </c>
      <c r="M17" s="8">
        <f>M5</f>
        <v>0</v>
      </c>
      <c r="N17" s="6" t="s">
        <v>1</v>
      </c>
      <c r="O17" s="8">
        <f>O5</f>
        <v>0</v>
      </c>
      <c r="P17" s="8">
        <f>P5</f>
        <v>0</v>
      </c>
      <c r="Q17" s="6" t="s">
        <v>1</v>
      </c>
      <c r="R17" s="8">
        <f>R5</f>
        <v>0</v>
      </c>
      <c r="S17" s="8">
        <f>S5</f>
        <v>0</v>
      </c>
    </row>
    <row r="18" spans="1:19" x14ac:dyDescent="0.1">
      <c r="A18" s="6" t="s">
        <v>2</v>
      </c>
      <c r="B18" s="8">
        <f>B6</f>
        <v>0</v>
      </c>
      <c r="C18" s="8">
        <f>C6</f>
        <v>0</v>
      </c>
      <c r="D18" s="6" t="s">
        <v>2</v>
      </c>
      <c r="E18" s="8">
        <f>E6</f>
        <v>0</v>
      </c>
      <c r="F18" s="8">
        <f>F6</f>
        <v>0</v>
      </c>
      <c r="G18" s="6" t="s">
        <v>2</v>
      </c>
      <c r="H18" s="8">
        <f>H6</f>
        <v>0</v>
      </c>
      <c r="I18" s="8">
        <f>I6</f>
        <v>0</v>
      </c>
      <c r="K18" s="10" t="s">
        <v>2</v>
      </c>
      <c r="L18" s="11">
        <f>L6+P34</f>
        <v>0</v>
      </c>
      <c r="M18" s="11">
        <f>M6-Q34</f>
        <v>0</v>
      </c>
      <c r="N18" s="10" t="s">
        <v>2</v>
      </c>
      <c r="O18" s="11">
        <f>O6+P35</f>
        <v>0</v>
      </c>
      <c r="P18" s="11">
        <f>P6-Q35</f>
        <v>0</v>
      </c>
      <c r="Q18" s="10" t="s">
        <v>2</v>
      </c>
      <c r="R18" s="11">
        <f>R6+P36</f>
        <v>0</v>
      </c>
      <c r="S18" s="11">
        <f>S6-Q36</f>
        <v>0</v>
      </c>
    </row>
    <row r="19" spans="1:19" x14ac:dyDescent="0.1">
      <c r="A19" s="10" t="s">
        <v>3</v>
      </c>
      <c r="B19" s="11">
        <f>B7+F37</f>
        <v>0</v>
      </c>
      <c r="C19" s="11">
        <f>C7-G37</f>
        <v>0</v>
      </c>
      <c r="D19" s="10" t="s">
        <v>3</v>
      </c>
      <c r="E19" s="11">
        <f>E7+F38</f>
        <v>0</v>
      </c>
      <c r="F19" s="11">
        <f>F7-G38</f>
        <v>0</v>
      </c>
      <c r="G19" s="10" t="s">
        <v>3</v>
      </c>
      <c r="H19" s="11">
        <f>H7+F39</f>
        <v>0</v>
      </c>
      <c r="I19" s="11">
        <f>I7-G39</f>
        <v>0</v>
      </c>
      <c r="K19" s="6" t="s">
        <v>3</v>
      </c>
      <c r="L19" s="8">
        <f>L7</f>
        <v>0</v>
      </c>
      <c r="M19" s="8">
        <f>M7</f>
        <v>0</v>
      </c>
      <c r="N19" s="6" t="s">
        <v>3</v>
      </c>
      <c r="O19" s="8">
        <f>O7</f>
        <v>0</v>
      </c>
      <c r="P19" s="8">
        <f>P7</f>
        <v>0</v>
      </c>
      <c r="Q19" s="6" t="s">
        <v>3</v>
      </c>
      <c r="R19" s="8">
        <f>R7</f>
        <v>0</v>
      </c>
      <c r="S19" s="8">
        <f>S7</f>
        <v>0</v>
      </c>
    </row>
    <row r="20" spans="1:19" x14ac:dyDescent="0.1">
      <c r="A20" s="6" t="s">
        <v>4</v>
      </c>
      <c r="B20" s="8">
        <f>B8</f>
        <v>0</v>
      </c>
      <c r="C20" s="8">
        <f>C8</f>
        <v>0</v>
      </c>
      <c r="D20" s="6" t="s">
        <v>4</v>
      </c>
      <c r="E20" s="8">
        <f>E8</f>
        <v>0</v>
      </c>
      <c r="F20" s="8">
        <f>F8</f>
        <v>0</v>
      </c>
      <c r="G20" s="6" t="s">
        <v>4</v>
      </c>
      <c r="H20" s="8">
        <f>H8</f>
        <v>0</v>
      </c>
      <c r="I20" s="8">
        <f>I8</f>
        <v>0</v>
      </c>
      <c r="K20" s="10" t="s">
        <v>4</v>
      </c>
      <c r="L20" s="11">
        <f>L8+P37</f>
        <v>0</v>
      </c>
      <c r="M20" s="11">
        <f>M8-Q37</f>
        <v>0</v>
      </c>
      <c r="N20" s="10" t="s">
        <v>4</v>
      </c>
      <c r="O20" s="11">
        <f>O8+P38</f>
        <v>0</v>
      </c>
      <c r="P20" s="11">
        <f>P8-Q38</f>
        <v>0</v>
      </c>
      <c r="Q20" s="10" t="s">
        <v>4</v>
      </c>
      <c r="R20" s="11">
        <f>R8+P39</f>
        <v>0</v>
      </c>
      <c r="S20" s="11">
        <f>S8-Q39</f>
        <v>0</v>
      </c>
    </row>
    <row r="21" spans="1:19" x14ac:dyDescent="0.1">
      <c r="A21" s="10" t="s">
        <v>5</v>
      </c>
      <c r="B21" s="11">
        <f>B9+F31</f>
        <v>0</v>
      </c>
      <c r="C21" s="11">
        <f>C9-G31</f>
        <v>0</v>
      </c>
      <c r="D21" s="10" t="s">
        <v>5</v>
      </c>
      <c r="E21" s="11">
        <f>E9+F32</f>
        <v>0</v>
      </c>
      <c r="F21" s="11">
        <f>F9-G32</f>
        <v>0</v>
      </c>
      <c r="G21" s="10" t="s">
        <v>5</v>
      </c>
      <c r="H21" s="11">
        <f>H9+F33</f>
        <v>0</v>
      </c>
      <c r="I21" s="11">
        <f>I9-G33</f>
        <v>0</v>
      </c>
      <c r="K21" s="6" t="s">
        <v>5</v>
      </c>
      <c r="L21" s="8">
        <f>L9</f>
        <v>0</v>
      </c>
      <c r="M21" s="8">
        <f>M9</f>
        <v>0</v>
      </c>
      <c r="N21" s="6" t="s">
        <v>5</v>
      </c>
      <c r="O21" s="8">
        <f>O9</f>
        <v>0</v>
      </c>
      <c r="P21" s="8">
        <f>P9</f>
        <v>0</v>
      </c>
      <c r="Q21" s="6" t="s">
        <v>5</v>
      </c>
      <c r="R21" s="8">
        <f>R9</f>
        <v>0</v>
      </c>
      <c r="S21" s="8">
        <f>S9</f>
        <v>0</v>
      </c>
    </row>
    <row r="22" spans="1:19" x14ac:dyDescent="0.1">
      <c r="A22" s="6" t="s">
        <v>6</v>
      </c>
      <c r="B22" s="8">
        <f>B10</f>
        <v>0</v>
      </c>
      <c r="C22" s="8">
        <f>C10</f>
        <v>0</v>
      </c>
      <c r="D22" s="6" t="s">
        <v>6</v>
      </c>
      <c r="E22" s="8">
        <f>E10</f>
        <v>0</v>
      </c>
      <c r="F22" s="8">
        <f>F10</f>
        <v>0</v>
      </c>
      <c r="G22" s="6" t="s">
        <v>6</v>
      </c>
      <c r="H22" s="8">
        <f>H10</f>
        <v>0</v>
      </c>
      <c r="I22" s="8">
        <f>I10</f>
        <v>0</v>
      </c>
      <c r="K22" s="10" t="s">
        <v>6</v>
      </c>
      <c r="L22" s="11">
        <f>L10+P31</f>
        <v>0</v>
      </c>
      <c r="M22" s="11">
        <f>M10-Q31</f>
        <v>0</v>
      </c>
      <c r="N22" s="10" t="s">
        <v>6</v>
      </c>
      <c r="O22" s="11">
        <f>O10+P32</f>
        <v>0</v>
      </c>
      <c r="P22" s="11">
        <f>P10-Q32</f>
        <v>0</v>
      </c>
      <c r="Q22" s="10" t="s">
        <v>6</v>
      </c>
      <c r="R22" s="11">
        <f>R10+P33</f>
        <v>0</v>
      </c>
      <c r="S22" s="11">
        <f>S10-Q33</f>
        <v>0</v>
      </c>
    </row>
    <row r="23" spans="1:19" x14ac:dyDescent="0.1">
      <c r="A23" s="10" t="s">
        <v>7</v>
      </c>
      <c r="B23" s="11">
        <f>B11+F28</f>
        <v>0</v>
      </c>
      <c r="C23" s="11">
        <f>C11-G28</f>
        <v>0</v>
      </c>
      <c r="D23" s="10" t="s">
        <v>7</v>
      </c>
      <c r="E23" s="11">
        <f>E11+F29</f>
        <v>0</v>
      </c>
      <c r="F23" s="11">
        <f>F11-G29</f>
        <v>0</v>
      </c>
      <c r="G23" s="10" t="s">
        <v>7</v>
      </c>
      <c r="H23" s="11">
        <f>H11+F30</f>
        <v>0</v>
      </c>
      <c r="I23" s="11">
        <f>I11-G30</f>
        <v>0</v>
      </c>
      <c r="K23" s="6" t="s">
        <v>7</v>
      </c>
      <c r="L23" s="8">
        <f>L11</f>
        <v>0</v>
      </c>
      <c r="M23" s="8">
        <f>M11</f>
        <v>0</v>
      </c>
      <c r="N23" s="6" t="s">
        <v>7</v>
      </c>
      <c r="O23" s="8">
        <f>O11</f>
        <v>0</v>
      </c>
      <c r="P23" s="8">
        <f>P11</f>
        <v>0</v>
      </c>
      <c r="Q23" s="6" t="s">
        <v>7</v>
      </c>
      <c r="R23" s="8">
        <f>R11</f>
        <v>0</v>
      </c>
      <c r="S23" s="8">
        <f>S11</f>
        <v>0</v>
      </c>
    </row>
    <row r="24" spans="1:19" x14ac:dyDescent="0.1">
      <c r="A24" s="6" t="s">
        <v>8</v>
      </c>
      <c r="B24" s="8">
        <f>B12</f>
        <v>0</v>
      </c>
      <c r="C24" s="8">
        <f>C12</f>
        <v>0</v>
      </c>
      <c r="D24" s="6" t="s">
        <v>8</v>
      </c>
      <c r="E24" s="8">
        <f>E12</f>
        <v>0</v>
      </c>
      <c r="F24" s="8">
        <f>F12</f>
        <v>0</v>
      </c>
      <c r="G24" s="6" t="s">
        <v>8</v>
      </c>
      <c r="H24" s="8">
        <f>H12</f>
        <v>0</v>
      </c>
      <c r="I24" s="8">
        <f>I12</f>
        <v>0</v>
      </c>
      <c r="K24" s="10" t="s">
        <v>8</v>
      </c>
      <c r="L24" s="11">
        <f>L12+P28</f>
        <v>0</v>
      </c>
      <c r="M24" s="11">
        <f>M12-Q28</f>
        <v>0</v>
      </c>
      <c r="N24" s="10" t="s">
        <v>8</v>
      </c>
      <c r="O24" s="11">
        <f>O12+P29</f>
        <v>0</v>
      </c>
      <c r="P24" s="11">
        <f>P12-Q29</f>
        <v>0</v>
      </c>
      <c r="Q24" s="10" t="s">
        <v>8</v>
      </c>
      <c r="R24" s="11">
        <f>R12+P30</f>
        <v>0</v>
      </c>
      <c r="S24" s="11">
        <f>S12-Q30</f>
        <v>0</v>
      </c>
    </row>
    <row r="26" spans="1:19" x14ac:dyDescent="0.1">
      <c r="A26" s="20" t="s">
        <v>14</v>
      </c>
      <c r="B26" s="24" t="s">
        <v>15</v>
      </c>
      <c r="C26" s="20" t="s">
        <v>17</v>
      </c>
      <c r="D26" s="20"/>
      <c r="E26" s="20"/>
      <c r="F26" s="20" t="s">
        <v>18</v>
      </c>
      <c r="G26" s="20"/>
      <c r="H26" s="20"/>
      <c r="K26" s="20" t="s">
        <v>14</v>
      </c>
      <c r="L26" s="24" t="s">
        <v>15</v>
      </c>
      <c r="M26" s="20" t="s">
        <v>17</v>
      </c>
      <c r="N26" s="20"/>
      <c r="O26" s="20"/>
      <c r="P26" s="20" t="s">
        <v>18</v>
      </c>
      <c r="Q26" s="20"/>
      <c r="R26" s="20"/>
    </row>
    <row r="27" spans="1:19" x14ac:dyDescent="0.1">
      <c r="A27" s="20"/>
      <c r="B27" s="20"/>
      <c r="C27" s="15" t="s">
        <v>9</v>
      </c>
      <c r="D27" s="15" t="s">
        <v>10</v>
      </c>
      <c r="E27" s="15" t="s">
        <v>16</v>
      </c>
      <c r="F27" s="15" t="s">
        <v>9</v>
      </c>
      <c r="G27" s="15" t="s">
        <v>10</v>
      </c>
      <c r="H27" s="15" t="s">
        <v>16</v>
      </c>
      <c r="K27" s="20"/>
      <c r="L27" s="20"/>
      <c r="M27" s="15" t="s">
        <v>9</v>
      </c>
      <c r="N27" s="15" t="s">
        <v>10</v>
      </c>
      <c r="O27" s="15" t="s">
        <v>16</v>
      </c>
      <c r="P27" s="15" t="s">
        <v>9</v>
      </c>
      <c r="Q27" s="15" t="s">
        <v>10</v>
      </c>
      <c r="R27" s="15" t="s">
        <v>16</v>
      </c>
    </row>
    <row r="28" spans="1:19" x14ac:dyDescent="0.1">
      <c r="A28">
        <v>1</v>
      </c>
      <c r="B28">
        <v>1</v>
      </c>
      <c r="C28" s="12">
        <v>101</v>
      </c>
      <c r="D28" s="12">
        <v>129</v>
      </c>
      <c r="E28">
        <v>-90</v>
      </c>
      <c r="F28" s="13"/>
      <c r="G28" s="13"/>
      <c r="H28" s="13">
        <v>0</v>
      </c>
      <c r="K28">
        <v>1</v>
      </c>
      <c r="L28">
        <v>1</v>
      </c>
      <c r="M28" s="12">
        <v>80</v>
      </c>
      <c r="N28" s="12">
        <v>144</v>
      </c>
      <c r="O28">
        <v>-45</v>
      </c>
      <c r="P28" s="13"/>
      <c r="Q28" s="13"/>
      <c r="R28" s="13">
        <v>0</v>
      </c>
    </row>
    <row r="29" spans="1:19" x14ac:dyDescent="0.1">
      <c r="A29">
        <v>2</v>
      </c>
      <c r="B29">
        <v>2</v>
      </c>
      <c r="C29" s="12">
        <v>143</v>
      </c>
      <c r="D29" s="12">
        <v>129</v>
      </c>
      <c r="E29">
        <v>-90</v>
      </c>
      <c r="F29" s="13"/>
      <c r="G29" s="13"/>
      <c r="H29" s="13">
        <v>0</v>
      </c>
      <c r="K29">
        <v>2</v>
      </c>
      <c r="L29">
        <v>2</v>
      </c>
      <c r="M29" s="12">
        <v>140</v>
      </c>
      <c r="N29" s="12">
        <v>144</v>
      </c>
      <c r="O29">
        <v>-45</v>
      </c>
      <c r="P29" s="16"/>
      <c r="Q29" s="13"/>
      <c r="R29" s="13">
        <v>0</v>
      </c>
    </row>
    <row r="30" spans="1:19" x14ac:dyDescent="0.1">
      <c r="A30">
        <v>3</v>
      </c>
      <c r="B30">
        <v>3</v>
      </c>
      <c r="C30" s="12">
        <v>185</v>
      </c>
      <c r="D30" s="12">
        <v>129</v>
      </c>
      <c r="E30">
        <v>-90</v>
      </c>
      <c r="F30" s="13"/>
      <c r="G30" s="13"/>
      <c r="H30" s="13">
        <v>0</v>
      </c>
      <c r="K30">
        <v>3</v>
      </c>
      <c r="L30">
        <v>3</v>
      </c>
      <c r="M30" s="12">
        <v>200</v>
      </c>
      <c r="N30" s="12">
        <v>144</v>
      </c>
      <c r="O30">
        <v>-45</v>
      </c>
      <c r="P30" s="13"/>
      <c r="Q30" s="13"/>
      <c r="R30" s="13">
        <v>0</v>
      </c>
    </row>
    <row r="31" spans="1:19" x14ac:dyDescent="0.1">
      <c r="A31">
        <v>4</v>
      </c>
      <c r="B31">
        <v>1</v>
      </c>
      <c r="C31" s="12">
        <v>101</v>
      </c>
      <c r="D31" s="12">
        <v>150</v>
      </c>
      <c r="E31">
        <v>180</v>
      </c>
      <c r="F31" s="13"/>
      <c r="G31" s="13"/>
      <c r="H31" s="13">
        <v>0</v>
      </c>
      <c r="K31">
        <v>4</v>
      </c>
      <c r="L31">
        <v>1</v>
      </c>
      <c r="M31" s="12">
        <v>95</v>
      </c>
      <c r="N31" s="12">
        <v>129</v>
      </c>
      <c r="O31">
        <v>-135</v>
      </c>
      <c r="P31" s="13"/>
      <c r="Q31" s="13"/>
      <c r="R31" s="13">
        <v>0</v>
      </c>
    </row>
    <row r="32" spans="1:19" x14ac:dyDescent="0.1">
      <c r="A32">
        <v>5</v>
      </c>
      <c r="B32">
        <v>2</v>
      </c>
      <c r="C32" s="12">
        <v>143</v>
      </c>
      <c r="D32" s="12">
        <v>150</v>
      </c>
      <c r="E32">
        <v>180</v>
      </c>
      <c r="F32" s="13"/>
      <c r="G32" s="13"/>
      <c r="H32" s="13">
        <v>0</v>
      </c>
      <c r="K32">
        <v>5</v>
      </c>
      <c r="L32">
        <v>2</v>
      </c>
      <c r="M32" s="12">
        <v>155</v>
      </c>
      <c r="N32" s="12">
        <v>129</v>
      </c>
      <c r="O32">
        <v>-135</v>
      </c>
      <c r="P32" s="13"/>
      <c r="Q32" s="13"/>
      <c r="R32" s="13">
        <v>0</v>
      </c>
    </row>
    <row r="33" spans="1:18" x14ac:dyDescent="0.1">
      <c r="A33">
        <v>6</v>
      </c>
      <c r="B33">
        <v>3</v>
      </c>
      <c r="C33" s="12">
        <v>185</v>
      </c>
      <c r="D33" s="12">
        <v>150</v>
      </c>
      <c r="E33">
        <v>180</v>
      </c>
      <c r="F33" s="13"/>
      <c r="G33" s="13"/>
      <c r="H33" s="13">
        <v>0</v>
      </c>
      <c r="K33">
        <v>6</v>
      </c>
      <c r="L33">
        <v>3</v>
      </c>
      <c r="M33" s="12">
        <v>215</v>
      </c>
      <c r="N33" s="12">
        <v>129</v>
      </c>
      <c r="O33">
        <v>-135</v>
      </c>
      <c r="P33" s="13"/>
      <c r="Q33" s="13"/>
      <c r="R33" s="13">
        <v>0</v>
      </c>
    </row>
    <row r="34" spans="1:18" x14ac:dyDescent="0.1">
      <c r="A34">
        <v>7</v>
      </c>
      <c r="B34">
        <v>1</v>
      </c>
      <c r="C34" s="12">
        <v>80</v>
      </c>
      <c r="D34" s="12">
        <v>129</v>
      </c>
      <c r="E34">
        <v>0</v>
      </c>
      <c r="F34" s="13"/>
      <c r="G34" s="13"/>
      <c r="H34" s="13">
        <v>0</v>
      </c>
      <c r="K34">
        <v>7</v>
      </c>
      <c r="L34">
        <v>1</v>
      </c>
      <c r="M34" s="12">
        <v>50</v>
      </c>
      <c r="N34" s="12">
        <v>144</v>
      </c>
      <c r="O34">
        <v>45</v>
      </c>
      <c r="P34" s="13"/>
      <c r="Q34" s="13"/>
      <c r="R34" s="13">
        <v>0</v>
      </c>
    </row>
    <row r="35" spans="1:18" x14ac:dyDescent="0.1">
      <c r="A35">
        <v>8</v>
      </c>
      <c r="B35">
        <v>2</v>
      </c>
      <c r="C35" s="12">
        <v>122</v>
      </c>
      <c r="D35" s="12">
        <v>129</v>
      </c>
      <c r="E35">
        <v>0</v>
      </c>
      <c r="F35" s="13"/>
      <c r="G35" s="13"/>
      <c r="H35" s="13">
        <v>0</v>
      </c>
      <c r="K35">
        <v>8</v>
      </c>
      <c r="L35">
        <v>2</v>
      </c>
      <c r="M35" s="12">
        <v>110</v>
      </c>
      <c r="N35" s="12">
        <v>144</v>
      </c>
      <c r="O35">
        <v>45</v>
      </c>
      <c r="P35" s="13"/>
      <c r="Q35" s="13"/>
      <c r="R35" s="13">
        <v>0</v>
      </c>
    </row>
    <row r="36" spans="1:18" x14ac:dyDescent="0.1">
      <c r="A36">
        <v>9</v>
      </c>
      <c r="B36">
        <v>3</v>
      </c>
      <c r="C36" s="12">
        <v>164</v>
      </c>
      <c r="D36" s="12">
        <v>129</v>
      </c>
      <c r="E36">
        <v>0</v>
      </c>
      <c r="F36" s="13"/>
      <c r="G36" s="13"/>
      <c r="H36" s="13">
        <v>0</v>
      </c>
      <c r="K36">
        <v>9</v>
      </c>
      <c r="L36">
        <v>3</v>
      </c>
      <c r="M36" s="12">
        <v>170</v>
      </c>
      <c r="N36" s="12">
        <v>144</v>
      </c>
      <c r="O36">
        <v>45</v>
      </c>
      <c r="P36" s="13"/>
      <c r="Q36" s="13"/>
      <c r="R36" s="13">
        <v>0</v>
      </c>
    </row>
    <row r="37" spans="1:18" x14ac:dyDescent="0.1">
      <c r="A37">
        <v>10</v>
      </c>
      <c r="B37">
        <v>1</v>
      </c>
      <c r="C37" s="12">
        <v>80</v>
      </c>
      <c r="D37" s="12">
        <v>150</v>
      </c>
      <c r="E37">
        <v>90</v>
      </c>
      <c r="F37" s="13"/>
      <c r="G37" s="13"/>
      <c r="H37" s="13">
        <v>0</v>
      </c>
      <c r="K37">
        <v>10</v>
      </c>
      <c r="L37">
        <v>1</v>
      </c>
      <c r="M37" s="12">
        <v>65</v>
      </c>
      <c r="N37" s="12">
        <v>129</v>
      </c>
      <c r="O37">
        <v>135</v>
      </c>
      <c r="P37" s="13"/>
      <c r="Q37" s="13"/>
      <c r="R37" s="13">
        <v>0</v>
      </c>
    </row>
    <row r="38" spans="1:18" x14ac:dyDescent="0.1">
      <c r="A38">
        <v>11</v>
      </c>
      <c r="B38">
        <v>2</v>
      </c>
      <c r="C38" s="12">
        <v>122</v>
      </c>
      <c r="D38" s="12">
        <v>150</v>
      </c>
      <c r="E38">
        <v>90</v>
      </c>
      <c r="F38" s="13"/>
      <c r="G38" s="13"/>
      <c r="H38" s="13">
        <v>0</v>
      </c>
      <c r="K38">
        <v>11</v>
      </c>
      <c r="L38">
        <v>2</v>
      </c>
      <c r="M38" s="12">
        <v>125</v>
      </c>
      <c r="N38" s="12">
        <v>129</v>
      </c>
      <c r="O38">
        <v>135</v>
      </c>
      <c r="P38" s="13"/>
      <c r="Q38" s="13"/>
      <c r="R38" s="13">
        <v>0</v>
      </c>
    </row>
    <row r="39" spans="1:18" x14ac:dyDescent="0.1">
      <c r="A39">
        <v>12</v>
      </c>
      <c r="B39">
        <v>3</v>
      </c>
      <c r="C39" s="12">
        <v>164</v>
      </c>
      <c r="D39" s="12">
        <v>150</v>
      </c>
      <c r="E39">
        <v>90</v>
      </c>
      <c r="F39" s="13"/>
      <c r="G39" s="13"/>
      <c r="H39" s="13">
        <v>0</v>
      </c>
      <c r="K39">
        <v>12</v>
      </c>
      <c r="L39">
        <v>3</v>
      </c>
      <c r="M39" s="12">
        <v>185</v>
      </c>
      <c r="N39" s="12">
        <v>129</v>
      </c>
      <c r="O39">
        <v>135</v>
      </c>
      <c r="P39" s="13"/>
      <c r="Q39" s="13"/>
      <c r="R39" s="13">
        <v>0</v>
      </c>
    </row>
    <row r="40" spans="1:18" x14ac:dyDescent="0.1">
      <c r="A40"/>
      <c r="G40"/>
      <c r="K40"/>
      <c r="Q40"/>
    </row>
    <row r="41" spans="1:18" x14ac:dyDescent="0.1">
      <c r="A41"/>
      <c r="G41"/>
      <c r="K41"/>
      <c r="Q41"/>
    </row>
    <row r="42" spans="1:18" x14ac:dyDescent="0.1">
      <c r="A42"/>
      <c r="G42"/>
      <c r="K42"/>
      <c r="Q42"/>
    </row>
    <row r="43" spans="1:18" x14ac:dyDescent="0.1">
      <c r="A43"/>
      <c r="G43"/>
      <c r="K43"/>
      <c r="Q43"/>
    </row>
    <row r="44" spans="1:18" x14ac:dyDescent="0.1">
      <c r="A44"/>
      <c r="G44"/>
      <c r="K44"/>
      <c r="Q44"/>
    </row>
    <row r="45" spans="1:18" x14ac:dyDescent="0.1">
      <c r="A45"/>
      <c r="G45"/>
      <c r="K45"/>
      <c r="Q45"/>
    </row>
    <row r="46" spans="1:18" x14ac:dyDescent="0.1">
      <c r="A46"/>
      <c r="G46"/>
      <c r="K46"/>
      <c r="Q46"/>
    </row>
    <row r="47" spans="1:18" x14ac:dyDescent="0.1">
      <c r="A47"/>
      <c r="G47"/>
      <c r="K47"/>
      <c r="Q47"/>
    </row>
    <row r="48" spans="1:18" x14ac:dyDescent="0.1">
      <c r="A48"/>
      <c r="G48"/>
      <c r="K48"/>
      <c r="Q48"/>
    </row>
    <row r="49" spans="12:19" customFormat="1" x14ac:dyDescent="0.1"/>
    <row r="50" spans="12:19" customFormat="1" x14ac:dyDescent="0.1"/>
    <row r="51" spans="12:19" customFormat="1" x14ac:dyDescent="0.1"/>
    <row r="52" spans="12:19" customFormat="1" x14ac:dyDescent="0.1"/>
    <row r="53" spans="12:19" customFormat="1" x14ac:dyDescent="0.1"/>
    <row r="54" spans="12:19" customFormat="1" x14ac:dyDescent="0.1"/>
    <row r="55" spans="12:19" customFormat="1" x14ac:dyDescent="0.1"/>
    <row r="56" spans="12:19" customFormat="1" x14ac:dyDescent="0.1"/>
    <row r="57" spans="12:19" customFormat="1" x14ac:dyDescent="0.1">
      <c r="L57" s="17" t="s">
        <v>28</v>
      </c>
      <c r="M57" s="17"/>
      <c r="N57" s="17"/>
      <c r="O57" s="17"/>
      <c r="P57" s="17"/>
      <c r="Q57" s="17"/>
      <c r="R57" s="17"/>
      <c r="S57" s="17"/>
    </row>
    <row r="58" spans="12:19" customFormat="1" x14ac:dyDescent="0.1">
      <c r="L58" s="17">
        <v>-0.21199999999999999</v>
      </c>
      <c r="M58" s="17">
        <v>0.42599999999999999</v>
      </c>
      <c r="N58" s="17" t="s">
        <v>19</v>
      </c>
      <c r="O58" s="17">
        <v>-0.20200000000000001</v>
      </c>
      <c r="P58" s="17">
        <v>0.39400000000000002</v>
      </c>
      <c r="Q58" s="17" t="s">
        <v>19</v>
      </c>
      <c r="R58" s="17">
        <v>-0.20300000000000001</v>
      </c>
      <c r="S58" s="17">
        <v>0.40300000000000002</v>
      </c>
    </row>
    <row r="59" spans="12:19" customFormat="1" x14ac:dyDescent="0.1">
      <c r="L59" s="17">
        <v>-0.21</v>
      </c>
      <c r="M59" s="17">
        <v>0.442</v>
      </c>
      <c r="N59" s="17" t="s">
        <v>2</v>
      </c>
      <c r="O59" s="17">
        <v>-0.185</v>
      </c>
      <c r="P59" s="17">
        <v>0.39600000000000002</v>
      </c>
      <c r="Q59" s="17" t="s">
        <v>2</v>
      </c>
      <c r="R59" s="17">
        <v>-0.18099999999999999</v>
      </c>
      <c r="S59" s="17">
        <v>0.39600000000000002</v>
      </c>
    </row>
    <row r="60" spans="12:19" customFormat="1" x14ac:dyDescent="0.1">
      <c r="L60" s="17">
        <v>-0.20799999999999999</v>
      </c>
      <c r="M60" s="17">
        <v>0.4</v>
      </c>
      <c r="N60" s="17" t="s">
        <v>3</v>
      </c>
      <c r="O60" s="17">
        <v>-0.19700000000000001</v>
      </c>
      <c r="P60" s="17">
        <v>0.39300000000000002</v>
      </c>
      <c r="Q60" s="17" t="s">
        <v>3</v>
      </c>
      <c r="R60" s="17">
        <v>-0.20300000000000001</v>
      </c>
      <c r="S60" s="17">
        <v>0.39100000000000001</v>
      </c>
    </row>
    <row r="61" spans="12:19" customFormat="1" x14ac:dyDescent="0.1">
      <c r="L61" s="17">
        <v>-0.20900000000000002</v>
      </c>
      <c r="M61" s="17">
        <v>0.439</v>
      </c>
      <c r="N61" s="17" t="s">
        <v>4</v>
      </c>
      <c r="O61" s="17">
        <v>-0.182</v>
      </c>
      <c r="P61" s="17">
        <v>0.40100000000000002</v>
      </c>
      <c r="Q61" s="17" t="s">
        <v>4</v>
      </c>
      <c r="R61" s="17">
        <v>-0.18099999999999999</v>
      </c>
      <c r="S61" s="17">
        <v>0.40200000000000002</v>
      </c>
    </row>
    <row r="62" spans="12:19" customFormat="1" x14ac:dyDescent="0.1">
      <c r="L62" s="17">
        <v>-0.21</v>
      </c>
      <c r="M62" s="17">
        <v>0.4</v>
      </c>
      <c r="N62" s="17" t="s">
        <v>5</v>
      </c>
      <c r="O62" s="17">
        <v>-0.19900000000000001</v>
      </c>
      <c r="P62" s="17">
        <v>0.39400000000000002</v>
      </c>
      <c r="Q62" s="17" t="s">
        <v>5</v>
      </c>
      <c r="R62" s="17">
        <v>-0.2</v>
      </c>
      <c r="S62" s="17">
        <v>0.39900000000000002</v>
      </c>
    </row>
    <row r="63" spans="12:19" customFormat="1" x14ac:dyDescent="0.1">
      <c r="L63" s="17">
        <v>-0.21299999999999999</v>
      </c>
      <c r="M63" s="17">
        <v>0.441</v>
      </c>
      <c r="N63" s="17" t="s">
        <v>6</v>
      </c>
      <c r="O63" s="17">
        <v>-0.17899999999999999</v>
      </c>
      <c r="P63" s="17">
        <v>0.42</v>
      </c>
      <c r="Q63" s="17" t="s">
        <v>6</v>
      </c>
      <c r="R63" s="17">
        <v>-0.17499999999999999</v>
      </c>
      <c r="S63" s="17">
        <v>0.38800000000000001</v>
      </c>
    </row>
    <row r="64" spans="12:19" customFormat="1" x14ac:dyDescent="0.1">
      <c r="L64" s="17">
        <v>-0.218</v>
      </c>
      <c r="M64" s="17">
        <v>0.39600000000000002</v>
      </c>
      <c r="N64" s="17" t="s">
        <v>7</v>
      </c>
      <c r="O64" s="17">
        <v>-0.20200000000000001</v>
      </c>
      <c r="P64" s="17">
        <v>0.39200000000000002</v>
      </c>
      <c r="Q64" s="17" t="s">
        <v>7</v>
      </c>
      <c r="R64" s="17">
        <v>-0.19800000000000001</v>
      </c>
      <c r="S64" s="17">
        <v>0.39</v>
      </c>
    </row>
    <row r="65" spans="12:19" customFormat="1" x14ac:dyDescent="0.1">
      <c r="L65" s="17">
        <v>-0.21</v>
      </c>
      <c r="M65" s="17">
        <v>0.44400000000000001</v>
      </c>
      <c r="N65" s="17" t="s">
        <v>8</v>
      </c>
      <c r="O65" s="17">
        <v>-0.184</v>
      </c>
      <c r="P65" s="17">
        <v>0.40899999999999997</v>
      </c>
      <c r="Q65" s="17" t="s">
        <v>8</v>
      </c>
      <c r="R65" s="17">
        <v>-0.17599999999999999</v>
      </c>
      <c r="S65" s="17">
        <v>0.39900000000000002</v>
      </c>
    </row>
    <row r="66" spans="12:19" customFormat="1" x14ac:dyDescent="0.1">
      <c r="L66" s="17"/>
      <c r="M66" s="17"/>
      <c r="N66" s="17"/>
      <c r="O66" s="17"/>
      <c r="P66" s="17"/>
      <c r="Q66" s="17"/>
      <c r="R66" s="17"/>
      <c r="S66" s="17"/>
    </row>
    <row r="67" spans="12:19" customFormat="1" x14ac:dyDescent="0.1">
      <c r="L67" s="17"/>
      <c r="M67" s="17"/>
      <c r="N67" s="17"/>
      <c r="O67" s="17"/>
      <c r="P67" s="17"/>
      <c r="Q67" s="17"/>
      <c r="R67" s="17"/>
      <c r="S67" s="17"/>
    </row>
    <row r="68" spans="12:19" customFormat="1" x14ac:dyDescent="0.1">
      <c r="L68" s="17"/>
      <c r="M68" s="17"/>
      <c r="N68" s="17"/>
      <c r="O68" s="17"/>
      <c r="P68" s="17"/>
      <c r="Q68" s="17"/>
      <c r="R68" s="17"/>
      <c r="S68" s="17"/>
    </row>
    <row r="69" spans="12:19" customFormat="1" x14ac:dyDescent="0.1">
      <c r="L69" s="17" t="s">
        <v>29</v>
      </c>
      <c r="M69" s="17"/>
      <c r="N69" s="17"/>
      <c r="O69" s="17"/>
      <c r="P69" s="17"/>
      <c r="Q69" s="17"/>
      <c r="R69" s="17"/>
      <c r="S69" s="17"/>
    </row>
    <row r="70" spans="12:19" customFormat="1" x14ac:dyDescent="0.1">
      <c r="L70" s="17">
        <v>-8.7999999999999995E-2</v>
      </c>
      <c r="M70" s="17">
        <v>0.22600000000000001</v>
      </c>
      <c r="N70" s="17" t="s">
        <v>19</v>
      </c>
      <c r="O70" s="17">
        <v>-0.09</v>
      </c>
      <c r="P70" s="17">
        <v>0.31900000000000001</v>
      </c>
      <c r="Q70" s="17" t="s">
        <v>19</v>
      </c>
      <c r="R70" s="17">
        <v>-0.107</v>
      </c>
      <c r="S70" s="17">
        <v>0.30299999999999999</v>
      </c>
    </row>
    <row r="71" spans="12:19" customFormat="1" x14ac:dyDescent="0.1">
      <c r="L71" s="17">
        <v>-7.5000000000000011E-2</v>
      </c>
      <c r="M71" s="17">
        <v>0.28099999999999997</v>
      </c>
      <c r="N71" s="17" t="s">
        <v>2</v>
      </c>
      <c r="O71" s="17">
        <v>-0.09</v>
      </c>
      <c r="P71" s="17">
        <v>0.32400000000000001</v>
      </c>
      <c r="Q71" s="17" t="s">
        <v>2</v>
      </c>
      <c r="R71" s="17">
        <v>-0.10300000000000001</v>
      </c>
      <c r="S71" s="17">
        <v>0.30099999999999999</v>
      </c>
    </row>
    <row r="72" spans="12:19" customFormat="1" x14ac:dyDescent="0.1">
      <c r="L72" s="17">
        <v>-8.7999999999999995E-2</v>
      </c>
      <c r="M72" s="17">
        <v>0.29399999999999998</v>
      </c>
      <c r="N72" s="17" t="s">
        <v>3</v>
      </c>
      <c r="O72" s="17">
        <v>-8.5999999999999993E-2</v>
      </c>
      <c r="P72" s="17">
        <v>0.32100000000000001</v>
      </c>
      <c r="Q72" s="17" t="s">
        <v>3</v>
      </c>
      <c r="R72" s="17">
        <v>-0.115</v>
      </c>
      <c r="S72" s="17">
        <v>0.312</v>
      </c>
    </row>
    <row r="73" spans="12:19" customFormat="1" x14ac:dyDescent="0.1">
      <c r="L73" s="17">
        <v>-6.5000000000000002E-2</v>
      </c>
      <c r="M73" s="17">
        <v>0.28499999999999998</v>
      </c>
      <c r="N73" s="17" t="s">
        <v>4</v>
      </c>
      <c r="O73" s="17">
        <v>-9.6000000000000002E-2</v>
      </c>
      <c r="P73" s="17">
        <v>0.32600000000000001</v>
      </c>
      <c r="Q73" s="17" t="s">
        <v>4</v>
      </c>
      <c r="R73" s="17">
        <v>-0.114</v>
      </c>
      <c r="S73" s="17">
        <v>0.32</v>
      </c>
    </row>
    <row r="74" spans="12:19" customFormat="1" x14ac:dyDescent="0.1">
      <c r="L74" s="17">
        <v>-8.8999999999999996E-2</v>
      </c>
      <c r="M74" s="17">
        <v>0.29099999999999998</v>
      </c>
      <c r="N74" s="17" t="s">
        <v>5</v>
      </c>
      <c r="O74" s="17">
        <v>-8.7999999999999995E-2</v>
      </c>
      <c r="P74" s="17">
        <v>0.31900000000000001</v>
      </c>
      <c r="Q74" s="17" t="s">
        <v>5</v>
      </c>
      <c r="R74" s="17">
        <v>-0.11</v>
      </c>
      <c r="S74" s="17">
        <v>0.314</v>
      </c>
    </row>
    <row r="75" spans="12:19" customFormat="1" x14ac:dyDescent="0.1">
      <c r="L75" s="17">
        <v>-7.3999999999999996E-2</v>
      </c>
      <c r="M75" s="17">
        <v>0.28499999999999998</v>
      </c>
      <c r="N75" s="17" t="s">
        <v>6</v>
      </c>
      <c r="O75" s="17">
        <v>-8.6000000000000007E-2</v>
      </c>
      <c r="P75" s="17">
        <v>0.32</v>
      </c>
      <c r="Q75" s="17" t="s">
        <v>6</v>
      </c>
      <c r="R75" s="17">
        <v>-0.11</v>
      </c>
      <c r="S75" s="17">
        <v>0.307</v>
      </c>
    </row>
    <row r="76" spans="12:19" x14ac:dyDescent="0.1">
      <c r="L76" s="17">
        <v>-7.5999999999999998E-2</v>
      </c>
      <c r="M76" s="17">
        <v>0.28100000000000003</v>
      </c>
      <c r="N76" s="17" t="s">
        <v>7</v>
      </c>
      <c r="O76" s="17">
        <v>-8.8999999999999996E-2</v>
      </c>
      <c r="P76" s="17">
        <v>0.313</v>
      </c>
      <c r="Q76" s="17" t="s">
        <v>7</v>
      </c>
      <c r="R76" s="17">
        <v>-0.107</v>
      </c>
      <c r="S76" s="17">
        <v>0.311</v>
      </c>
    </row>
    <row r="77" spans="12:19" x14ac:dyDescent="0.1">
      <c r="L77" s="17">
        <v>-7.3000000000000009E-2</v>
      </c>
      <c r="M77" s="17">
        <v>0.28400000000000003</v>
      </c>
      <c r="N77" s="17" t="s">
        <v>8</v>
      </c>
      <c r="O77" s="17">
        <v>-0.1</v>
      </c>
      <c r="P77" s="17">
        <v>0.32700000000000001</v>
      </c>
      <c r="Q77" s="17" t="s">
        <v>8</v>
      </c>
      <c r="R77" s="17">
        <v>-0.10800000000000001</v>
      </c>
      <c r="S77" s="17">
        <v>0.312</v>
      </c>
    </row>
    <row r="78" spans="12:19" x14ac:dyDescent="0.1">
      <c r="L78" s="17"/>
      <c r="M78" s="17"/>
      <c r="N78" s="17"/>
      <c r="O78" s="17"/>
      <c r="P78" s="17"/>
      <c r="Q78" s="17"/>
      <c r="R78" s="17"/>
      <c r="S78" s="17"/>
    </row>
    <row r="79" spans="12:19" x14ac:dyDescent="0.1">
      <c r="L79" s="17"/>
      <c r="M79" s="17"/>
      <c r="N79" s="17"/>
      <c r="O79" s="17"/>
      <c r="P79" s="17"/>
      <c r="Q79" s="17"/>
      <c r="R79" s="17"/>
      <c r="S79" s="17"/>
    </row>
    <row r="80" spans="12:19" x14ac:dyDescent="0.1">
      <c r="L80" s="17"/>
      <c r="M80" s="17"/>
      <c r="N80" s="17"/>
      <c r="O80" s="17"/>
      <c r="P80" s="17"/>
      <c r="Q80" s="17"/>
      <c r="R80" s="17"/>
      <c r="S80" s="17"/>
    </row>
    <row r="81" spans="12:19" x14ac:dyDescent="0.1">
      <c r="L81" s="17"/>
      <c r="M81" s="17"/>
      <c r="N81" s="17"/>
      <c r="O81" s="17"/>
      <c r="P81" s="17"/>
      <c r="Q81" s="17"/>
      <c r="R81" s="17"/>
      <c r="S81" s="17"/>
    </row>
    <row r="82" spans="12:19" x14ac:dyDescent="0.1">
      <c r="L82" s="17"/>
      <c r="M82" s="17"/>
      <c r="N82" s="17"/>
      <c r="O82" s="17"/>
      <c r="P82" s="17"/>
      <c r="Q82" s="17"/>
      <c r="R82" s="17"/>
      <c r="S82" s="17"/>
    </row>
    <row r="83" spans="12:19" x14ac:dyDescent="0.1">
      <c r="L83" s="17" t="s">
        <v>30</v>
      </c>
      <c r="M83" s="17"/>
      <c r="N83" s="17"/>
      <c r="O83" s="17"/>
      <c r="P83" s="17"/>
      <c r="Q83" s="17"/>
      <c r="R83" s="17"/>
      <c r="S83" s="17"/>
    </row>
    <row r="84" spans="12:19" x14ac:dyDescent="0.1">
      <c r="L84" s="18">
        <v>-8.7999999999999995E-2</v>
      </c>
      <c r="M84" s="18">
        <v>0.29399999999999998</v>
      </c>
      <c r="N84" s="19" t="s">
        <v>19</v>
      </c>
      <c r="O84" s="18">
        <v>-8.5999999999999993E-2</v>
      </c>
      <c r="P84" s="18">
        <v>0.32100000000000001</v>
      </c>
      <c r="Q84" s="19" t="s">
        <v>19</v>
      </c>
      <c r="R84" s="18">
        <v>-0.115</v>
      </c>
      <c r="S84" s="18">
        <v>0.312</v>
      </c>
    </row>
    <row r="85" spans="12:19" x14ac:dyDescent="0.1">
      <c r="L85" s="18">
        <v>-6.5000000000000002E-2</v>
      </c>
      <c r="M85" s="18">
        <v>0.28499999999999998</v>
      </c>
      <c r="N85" s="19" t="s">
        <v>2</v>
      </c>
      <c r="O85" s="18">
        <v>-9.6000000000000002E-2</v>
      </c>
      <c r="P85" s="18">
        <v>0.32600000000000001</v>
      </c>
      <c r="Q85" s="19" t="s">
        <v>2</v>
      </c>
      <c r="R85" s="18">
        <v>-0.114</v>
      </c>
      <c r="S85" s="18">
        <v>0.32</v>
      </c>
    </row>
    <row r="86" spans="12:19" x14ac:dyDescent="0.1">
      <c r="L86" s="18">
        <v>-8.8999999999999996E-2</v>
      </c>
      <c r="M86" s="18">
        <v>0.29099999999999998</v>
      </c>
      <c r="N86" s="19" t="s">
        <v>3</v>
      </c>
      <c r="O86" s="18">
        <v>-8.7999999999999995E-2</v>
      </c>
      <c r="P86" s="18">
        <v>0.31900000000000001</v>
      </c>
      <c r="Q86" s="19" t="s">
        <v>3</v>
      </c>
      <c r="R86" s="18">
        <v>-0.11</v>
      </c>
      <c r="S86" s="18">
        <v>0.314</v>
      </c>
    </row>
    <row r="87" spans="12:19" x14ac:dyDescent="0.1">
      <c r="L87" s="18">
        <v>-7.3999999999999996E-2</v>
      </c>
      <c r="M87" s="18">
        <v>0.28499999999999998</v>
      </c>
      <c r="N87" s="19" t="s">
        <v>4</v>
      </c>
      <c r="O87" s="18">
        <v>-8.5999999999999993E-2</v>
      </c>
      <c r="P87" s="18">
        <v>0.32</v>
      </c>
      <c r="Q87" s="19" t="s">
        <v>4</v>
      </c>
      <c r="R87" s="18">
        <v>-0.11</v>
      </c>
      <c r="S87" s="18">
        <v>0.307</v>
      </c>
    </row>
    <row r="88" spans="12:19" x14ac:dyDescent="0.1">
      <c r="L88" s="18">
        <v>-7.5999999999999998E-2</v>
      </c>
      <c r="M88" s="18">
        <v>0.28100000000000003</v>
      </c>
      <c r="N88" s="19" t="s">
        <v>5</v>
      </c>
      <c r="O88" s="18">
        <v>-8.8999999999999996E-2</v>
      </c>
      <c r="P88" s="18">
        <v>0.313</v>
      </c>
      <c r="Q88" s="19" t="s">
        <v>5</v>
      </c>
      <c r="R88" s="18">
        <v>-0.107</v>
      </c>
      <c r="S88" s="18">
        <v>0.311</v>
      </c>
    </row>
    <row r="89" spans="12:19" x14ac:dyDescent="0.1">
      <c r="L89" s="18">
        <v>-7.2999999999999995E-2</v>
      </c>
      <c r="M89" s="18">
        <v>0.28399999999999997</v>
      </c>
      <c r="N89" s="19" t="s">
        <v>6</v>
      </c>
      <c r="O89" s="18">
        <v>-0.1</v>
      </c>
      <c r="P89" s="18">
        <v>0.32700000000000001</v>
      </c>
      <c r="Q89" s="19" t="s">
        <v>6</v>
      </c>
      <c r="R89" s="18">
        <v>-0.108</v>
      </c>
      <c r="S89" s="18">
        <v>0.312</v>
      </c>
    </row>
    <row r="90" spans="12:19" x14ac:dyDescent="0.1">
      <c r="L90" s="18">
        <v>0</v>
      </c>
      <c r="M90" s="18">
        <v>0</v>
      </c>
      <c r="N90" s="19" t="s">
        <v>7</v>
      </c>
      <c r="O90" s="18">
        <v>0</v>
      </c>
      <c r="P90" s="18">
        <v>0</v>
      </c>
      <c r="Q90" s="19" t="s">
        <v>7</v>
      </c>
      <c r="R90" s="18">
        <v>0</v>
      </c>
      <c r="S90" s="18">
        <v>0</v>
      </c>
    </row>
    <row r="91" spans="12:19" x14ac:dyDescent="0.1">
      <c r="L91" s="18">
        <v>0</v>
      </c>
      <c r="M91" s="18">
        <v>0</v>
      </c>
      <c r="N91" s="19" t="s">
        <v>8</v>
      </c>
      <c r="O91" s="18">
        <v>0</v>
      </c>
      <c r="P91" s="18">
        <v>0</v>
      </c>
      <c r="Q91" s="19" t="s">
        <v>8</v>
      </c>
      <c r="R91" s="18">
        <v>0</v>
      </c>
      <c r="S91" s="18">
        <v>0</v>
      </c>
    </row>
  </sheetData>
  <protectedRanges>
    <protectedRange sqref="H5:I12" name="区域5"/>
    <protectedRange sqref="E5:F12" name="区域4"/>
    <protectedRange sqref="B5:C12" name="区域3"/>
    <protectedRange sqref="P28:Q39" name="区域2"/>
    <protectedRange sqref="F28:G39" name="区域1"/>
  </protectedRanges>
  <mergeCells count="36">
    <mergeCell ref="A26:A27"/>
    <mergeCell ref="K15:M15"/>
    <mergeCell ref="D14:F14"/>
    <mergeCell ref="N14:P14"/>
    <mergeCell ref="F26:H26"/>
    <mergeCell ref="N15:P15"/>
    <mergeCell ref="A14:C14"/>
    <mergeCell ref="M26:O26"/>
    <mergeCell ref="B26:B27"/>
    <mergeCell ref="A15:C15"/>
    <mergeCell ref="G14:I14"/>
    <mergeCell ref="G15:I15"/>
    <mergeCell ref="K13:S13"/>
    <mergeCell ref="A2:C2"/>
    <mergeCell ref="A1:I1"/>
    <mergeCell ref="N3:P3"/>
    <mergeCell ref="Q2:S2"/>
    <mergeCell ref="A13:I13"/>
    <mergeCell ref="K1:S1"/>
    <mergeCell ref="Q3:S3"/>
    <mergeCell ref="G2:I2"/>
    <mergeCell ref="A3:C3"/>
    <mergeCell ref="D2:F2"/>
    <mergeCell ref="K3:M3"/>
    <mergeCell ref="N2:P2"/>
    <mergeCell ref="D3:F3"/>
    <mergeCell ref="G3:I3"/>
    <mergeCell ref="K2:M2"/>
    <mergeCell ref="P26:R26"/>
    <mergeCell ref="K14:M14"/>
    <mergeCell ref="C26:E26"/>
    <mergeCell ref="L26:L27"/>
    <mergeCell ref="D15:F15"/>
    <mergeCell ref="K26:K27"/>
    <mergeCell ref="Q15:S15"/>
    <mergeCell ref="Q14:S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H3前側頭計算 </vt:lpstr>
      <vt:lpstr>H3後側頭計算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正輝 林</cp:lastModifiedBy>
  <dcterms:created xsi:type="dcterms:W3CDTF">2022-06-04T03:26:57Z</dcterms:created>
  <dcterms:modified xsi:type="dcterms:W3CDTF">2024-06-22T08:35:30Z</dcterms:modified>
</cp:coreProperties>
</file>